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BAZARGANI-بازرگانی\سال 1405\وضعیت استعلام( سه برگی)\"/>
    </mc:Choice>
  </mc:AlternateContent>
  <xr:revisionPtr revIDLastSave="0" documentId="13_ncr:1_{F91A7EE1-AE32-41A5-9B75-AF0E91719C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فرم وضعیت استعلام" sheetId="1" r:id="rId1"/>
    <sheet name="گزارش فنی و مهندسی تامین اقلام" sheetId="2" r:id="rId2"/>
    <sheet name="صورتجلسه کمیسیون معاملات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D17" i="1"/>
  <c r="G22" i="3"/>
  <c r="J6" i="3"/>
  <c r="J5" i="3"/>
  <c r="C9" i="3" s="1"/>
  <c r="G20" i="3"/>
  <c r="G19" i="3"/>
  <c r="G18" i="3"/>
  <c r="A23" i="3"/>
  <c r="C20" i="3"/>
  <c r="C19" i="3"/>
  <c r="C18" i="3"/>
  <c r="C17" i="3"/>
  <c r="B8" i="3"/>
  <c r="J13" i="3" s="1"/>
  <c r="F23" i="3"/>
  <c r="I22" i="3"/>
  <c r="G17" i="3"/>
  <c r="H13" i="3"/>
  <c r="F13" i="3"/>
  <c r="D9" i="2"/>
  <c r="F9" i="2"/>
  <c r="I4" i="2"/>
  <c r="I5" i="2"/>
  <c r="F22" i="3" s="1"/>
</calcChain>
</file>

<file path=xl/sharedStrings.xml><?xml version="1.0" encoding="utf-8"?>
<sst xmlns="http://schemas.openxmlformats.org/spreadsheetml/2006/main" count="79" uniqueCount="70">
  <si>
    <t>فرم وضعیت استعلام</t>
  </si>
  <si>
    <t>تاریخ:</t>
  </si>
  <si>
    <t>شماره:</t>
  </si>
  <si>
    <t>تاریخ بازنگری:</t>
  </si>
  <si>
    <t xml:space="preserve">شماره بازنگری: </t>
  </si>
  <si>
    <t>تامین کنندگان</t>
  </si>
  <si>
    <t>ردیف</t>
  </si>
  <si>
    <t>قیمت</t>
  </si>
  <si>
    <t>شرایط تحویل/ پرداخت</t>
  </si>
  <si>
    <t>سایر توضیحات</t>
  </si>
  <si>
    <t>00</t>
  </si>
  <si>
    <t xml:space="preserve"> FR-PU-03/00</t>
  </si>
  <si>
    <t>شماره فرم:</t>
  </si>
  <si>
    <t>نام و آدرس و تلفن</t>
  </si>
  <si>
    <t>مدیر محترم عامل:
با سلام</t>
  </si>
  <si>
    <t>احتراما با عنایت به پیشنهادات ارائه شده لطفا دستور فرمائید نسبت به</t>
  </si>
  <si>
    <t>خرید از شرکت</t>
  </si>
  <si>
    <t>طرح در کمیسیون معاملات جهت تصمیم گیری</t>
  </si>
  <si>
    <t>مدیر بازرگانی- امضا</t>
  </si>
  <si>
    <t>مدیریت محترم بازرگانی
با سلام</t>
  </si>
  <si>
    <t>با پیشنهاد مطرح شده موافقت می شود.</t>
  </si>
  <si>
    <t>مدیر عامل- امضا</t>
  </si>
  <si>
    <t>گزارش فنی و مهندسی تامین اقلام</t>
  </si>
  <si>
    <t>پیرو درخواست خرید شماره</t>
  </si>
  <si>
    <t>مورخ</t>
  </si>
  <si>
    <t>تامین کنندگان به شرح ذیل ارائه می گردد</t>
  </si>
  <si>
    <t>اعضای محترم کمیسیون معاملات:</t>
  </si>
  <si>
    <t>باتوجه به دلایل فوق، تامین اقلام از</t>
  </si>
  <si>
    <t>مورد تایید می باشد.</t>
  </si>
  <si>
    <t>نام و نام خانوادگی</t>
  </si>
  <si>
    <t>سمت</t>
  </si>
  <si>
    <t>امضا</t>
  </si>
  <si>
    <t>صورتجلسه کمیسیون معاملات</t>
  </si>
  <si>
    <t>موضوع:</t>
  </si>
  <si>
    <t>زمان تشکیل جلسه:</t>
  </si>
  <si>
    <t>محل تشکیل جلسه:</t>
  </si>
  <si>
    <t>دفتر مدیرعامل</t>
  </si>
  <si>
    <t>واحد متقاضی:</t>
  </si>
  <si>
    <t>بازرگانی</t>
  </si>
  <si>
    <t>پیرو درخواست طرح در جلسه کمیسیون معاملات به شماره</t>
  </si>
  <si>
    <t>پیشنهادات واصله به شرح جدول ذیل می باشد:</t>
  </si>
  <si>
    <t>نام پیشنهاد تامین کننده</t>
  </si>
  <si>
    <t>مبلغ به عدد (ریال)</t>
  </si>
  <si>
    <t>با بررسی پیشنهادات مطرح شده / گزارش فنی و مهندسی به شماره</t>
  </si>
  <si>
    <t>تاریخ</t>
  </si>
  <si>
    <t>به مبلغ</t>
  </si>
  <si>
    <t>ریال</t>
  </si>
  <si>
    <t>مورد تصویب قرار می گیرد.</t>
  </si>
  <si>
    <t>امضاء</t>
  </si>
  <si>
    <t>احسان الله شریفی</t>
  </si>
  <si>
    <t>میثم زارع</t>
  </si>
  <si>
    <t>علیرضا فرجی</t>
  </si>
  <si>
    <t>کاووس سنگسرکی</t>
  </si>
  <si>
    <t>رئیس کمیسیون</t>
  </si>
  <si>
    <t>مدیر مالی</t>
  </si>
  <si>
    <t>مدیر برنامه ریزی/ نماینده واحد درخواست کننده</t>
  </si>
  <si>
    <t xml:space="preserve">بابت </t>
  </si>
  <si>
    <t>نام تامین کننده</t>
  </si>
  <si>
    <t>تامین اقلام مورد درخواست از</t>
  </si>
  <si>
    <t>اقدام لازم به عمل آید.</t>
  </si>
  <si>
    <t>نام محصول  /  خدمات:</t>
  </si>
  <si>
    <t xml:space="preserve"> گزارش بررسی های به عمل آمده درخصوص اقلام موردنیاز و .</t>
  </si>
  <si>
    <t>مشخصات سفارش: درخواست</t>
  </si>
  <si>
    <t>دبیر کمیسیون</t>
  </si>
  <si>
    <t>/1404/م</t>
  </si>
  <si>
    <t>1405/05/05</t>
  </si>
  <si>
    <t>پایه فلزی آینه جانبی J4</t>
  </si>
  <si>
    <t>شهرک صنعتی عباس آباد</t>
  </si>
  <si>
    <t>شرکت ساتراپ جهان</t>
  </si>
  <si>
    <t>با توجه به اینکه قالب‌های تولید قطعات مورد نیاز این شرکت با هزینه شرکت کادک ساخته شده و در اختیار شرکت خودرو مهر قرار گرفته و در حال حاضر طی قرارداد با شماره2036  نزد شرکت ساتراپ جهان مستقر می‌باشد، تأمین و تولید قطعات از طریق این تأمین‌کننده انجام می‌گیرد. همچنین دستگاه ماشین کاری قطعات با هزنیه شرکت ساخته شده و در اختیار شرکت ساتراپ جهان قرارداده شده است.
شرکت ساتراپ جهان  از نظر مشخصات فنی، ابعادی و عملکردی مورد ارزیابی قرار گرفته و کیفیت آن‌ها مورد تأیید می‌باشد. همچنین این تأمین‌کننده با فرآیند تولید، الزامات کیفی و مشخصات فنی قطعات آشنایی کامل دارد و سابقه مناسبی در تأمین این اقلام داشته است.                                                         
ضمنا این شرکت دارای گواهینامه مدیریت کیفیت IATF 16949  می باشد و بابت هر پارت محموله ارسالی تست ریپورت و گزارش تنظیم و ارائه میگردد.
لذا به منظور تأمین به‌موقع قطعات، حفظ کیفیت مورد تأیید و جلوگیری از بروز وقفه در تولید، خرید قطعات از شرکت ساتراپ جهان  مورد تأیید و پیشنهاد می‌گردد.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</si>
</sst>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sz val="12"/>
      <color theme="1"/>
      <name val="B Nazanin"/>
      <charset val="178"/>
    </font>
    <font>
      <b/>
      <sz val="12"/>
      <color theme="1"/>
      <name val="B Nazanin"/>
      <charset val="178"/>
    </font>
    <font>
      <b/>
      <sz val="14"/>
      <color theme="1"/>
      <name val="B Nazanin"/>
      <charset val="178"/>
    </font>
    <font>
      <b/>
      <sz val="12"/>
      <color theme="1"/>
      <name val="Calibri"/>
      <family val="2"/>
      <charset val="178"/>
      <scheme val="minor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8"/>
      <name val="Calibri"/>
      <family val="2"/>
      <scheme val="minor"/>
    </font>
    <font>
      <b/>
      <sz val="11"/>
      <color theme="1"/>
      <name val="B Nazanin"/>
      <charset val="178"/>
    </font>
    <font>
      <i/>
      <sz val="13"/>
      <color theme="1"/>
      <name val="B Nazanin"/>
      <charset val="178"/>
    </font>
    <font>
      <b/>
      <sz val="10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vertical="center" readingOrder="2"/>
    </xf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readingOrder="2"/>
    </xf>
    <xf numFmtId="0" fontId="2" fillId="0" borderId="3" xfId="0" applyFont="1" applyBorder="1" applyAlignment="1">
      <alignment horizontal="right" vertical="center" readingOrder="2"/>
    </xf>
    <xf numFmtId="0" fontId="2" fillId="0" borderId="4" xfId="0" applyFont="1" applyBorder="1" applyAlignment="1">
      <alignment horizontal="right" readingOrder="2"/>
    </xf>
    <xf numFmtId="0" fontId="2" fillId="0" borderId="5" xfId="0" applyFont="1" applyBorder="1" applyAlignment="1">
      <alignment horizontal="right" vertical="center" readingOrder="2"/>
    </xf>
    <xf numFmtId="0" fontId="2" fillId="0" borderId="6" xfId="0" applyFont="1" applyBorder="1" applyAlignment="1">
      <alignment horizontal="right" readingOrder="2"/>
    </xf>
    <xf numFmtId="0" fontId="2" fillId="0" borderId="5" xfId="0" applyFont="1" applyBorder="1" applyAlignment="1">
      <alignment horizontal="right" readingOrder="2"/>
    </xf>
    <xf numFmtId="0" fontId="2" fillId="0" borderId="7" xfId="0" applyFont="1" applyBorder="1" applyAlignment="1">
      <alignment horizontal="right" readingOrder="2"/>
    </xf>
    <xf numFmtId="0" fontId="2" fillId="0" borderId="8" xfId="0" applyFont="1" applyBorder="1" applyAlignment="1">
      <alignment horizontal="right" readingOrder="2"/>
    </xf>
    <xf numFmtId="0" fontId="2" fillId="0" borderId="9" xfId="0" applyFont="1" applyBorder="1" applyAlignment="1">
      <alignment horizontal="right" readingOrder="2"/>
    </xf>
    <xf numFmtId="0" fontId="2" fillId="0" borderId="3" xfId="0" applyFont="1" applyBorder="1" applyAlignment="1">
      <alignment horizontal="right" readingOrder="2"/>
    </xf>
    <xf numFmtId="0" fontId="3" fillId="0" borderId="0" xfId="0" applyFont="1" applyAlignment="1">
      <alignment horizontal="right" vertical="center" readingOrder="2"/>
    </xf>
    <xf numFmtId="0" fontId="3" fillId="0" borderId="1" xfId="0" applyFont="1" applyBorder="1" applyAlignment="1">
      <alignment horizontal="center" vertical="center" readingOrder="2"/>
    </xf>
    <xf numFmtId="0" fontId="5" fillId="0" borderId="12" xfId="0" applyFont="1" applyBorder="1" applyAlignment="1">
      <alignment horizontal="right" vertical="center" readingOrder="2"/>
    </xf>
    <xf numFmtId="0" fontId="3" fillId="0" borderId="14" xfId="0" applyFont="1" applyBorder="1" applyAlignment="1">
      <alignment horizontal="right" vertical="center" readingOrder="2"/>
    </xf>
    <xf numFmtId="0" fontId="3" fillId="0" borderId="1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right" vertical="center" readingOrder="2"/>
    </xf>
    <xf numFmtId="0" fontId="3" fillId="0" borderId="16" xfId="0" applyFont="1" applyBorder="1" applyAlignment="1">
      <alignment horizontal="center" vertical="center" readingOrder="2"/>
    </xf>
    <xf numFmtId="0" fontId="6" fillId="0" borderId="0" xfId="0" applyFont="1"/>
    <xf numFmtId="0" fontId="6" fillId="0" borderId="0" xfId="0" applyFont="1" applyAlignment="1">
      <alignment readingOrder="2"/>
    </xf>
    <xf numFmtId="0" fontId="7" fillId="0" borderId="0" xfId="0" applyFont="1"/>
    <xf numFmtId="0" fontId="7" fillId="0" borderId="0" xfId="0" applyFont="1" applyAlignment="1">
      <alignment readingOrder="2"/>
    </xf>
    <xf numFmtId="0" fontId="0" fillId="0" borderId="20" xfId="0" applyBorder="1" applyAlignment="1">
      <alignment horizontal="left" vertical="center" shrinkToFit="1" readingOrder="2"/>
    </xf>
    <xf numFmtId="0" fontId="0" fillId="0" borderId="19" xfId="0" applyBorder="1" applyAlignment="1">
      <alignment vertical="center" shrinkToFit="1" readingOrder="2"/>
    </xf>
    <xf numFmtId="0" fontId="3" fillId="0" borderId="25" xfId="0" applyFont="1" applyBorder="1" applyAlignment="1">
      <alignment horizontal="center" vertical="center" readingOrder="2"/>
    </xf>
    <xf numFmtId="0" fontId="3" fillId="0" borderId="28" xfId="0" applyFont="1" applyBorder="1" applyAlignment="1">
      <alignment horizontal="center" vertical="center" readingOrder="2"/>
    </xf>
    <xf numFmtId="0" fontId="3" fillId="0" borderId="19" xfId="0" applyFont="1" applyBorder="1" applyAlignment="1">
      <alignment vertical="center" readingOrder="2"/>
    </xf>
    <xf numFmtId="0" fontId="3" fillId="0" borderId="22" xfId="0" applyFont="1" applyBorder="1" applyAlignment="1">
      <alignment vertical="center" readingOrder="2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readingOrder="2"/>
    </xf>
    <xf numFmtId="0" fontId="3" fillId="0" borderId="0" xfId="0" applyFont="1" applyAlignment="1">
      <alignment readingOrder="2"/>
    </xf>
    <xf numFmtId="0" fontId="6" fillId="0" borderId="0" xfId="0" applyFont="1" applyAlignment="1">
      <alignment vertical="center" readingOrder="2"/>
    </xf>
    <xf numFmtId="0" fontId="7" fillId="0" borderId="0" xfId="0" applyFont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  <xf numFmtId="3" fontId="3" fillId="0" borderId="26" xfId="0" applyNumberFormat="1" applyFont="1" applyBorder="1" applyAlignment="1">
      <alignment horizontal="center" vertical="center" readingOrder="2"/>
    </xf>
    <xf numFmtId="3" fontId="3" fillId="0" borderId="1" xfId="0" applyNumberFormat="1" applyFont="1" applyBorder="1" applyAlignment="1">
      <alignment horizontal="center" vertical="center" readingOrder="2"/>
    </xf>
    <xf numFmtId="3" fontId="3" fillId="0" borderId="16" xfId="0" applyNumberFormat="1" applyFont="1" applyBorder="1" applyAlignment="1">
      <alignment horizontal="center" vertical="center" readingOrder="2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 vertical="center" readingOrder="2"/>
    </xf>
    <xf numFmtId="0" fontId="3" fillId="0" borderId="24" xfId="0" applyFont="1" applyBorder="1" applyAlignment="1">
      <alignment vertical="center" shrinkToFit="1" readingOrder="2"/>
    </xf>
    <xf numFmtId="0" fontId="3" fillId="0" borderId="0" xfId="0" applyFont="1" applyAlignment="1">
      <alignment vertical="center" shrinkToFit="1" readingOrder="2"/>
    </xf>
    <xf numFmtId="0" fontId="3" fillId="0" borderId="19" xfId="0" applyFont="1" applyBorder="1" applyAlignment="1">
      <alignment horizontal="left" vertical="center" shrinkToFit="1" readingOrder="2"/>
    </xf>
    <xf numFmtId="49" fontId="2" fillId="0" borderId="33" xfId="0" applyNumberFormat="1" applyFont="1" applyBorder="1" applyAlignment="1">
      <alignment horizontal="right" vertical="center" readingOrder="2"/>
    </xf>
    <xf numFmtId="0" fontId="2" fillId="0" borderId="25" xfId="0" applyFont="1" applyBorder="1" applyAlignment="1">
      <alignment horizontal="right" vertical="center" readingOrder="2"/>
    </xf>
    <xf numFmtId="0" fontId="3" fillId="0" borderId="0" xfId="0" applyFont="1" applyAlignment="1">
      <alignment vertical="top" shrinkToFit="1" readingOrder="2"/>
    </xf>
    <xf numFmtId="0" fontId="1" fillId="0" borderId="0" xfId="0" applyFont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left" vertical="center" readingOrder="2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 readingOrder="2"/>
    </xf>
    <xf numFmtId="0" fontId="7" fillId="0" borderId="25" xfId="0" applyFont="1" applyBorder="1" applyAlignment="1">
      <alignment horizontal="center" vertical="center" readingOrder="2"/>
    </xf>
    <xf numFmtId="0" fontId="7" fillId="0" borderId="30" xfId="0" applyFont="1" applyBorder="1" applyAlignment="1">
      <alignment horizontal="center" vertical="center" readingOrder="2"/>
    </xf>
    <xf numFmtId="0" fontId="7" fillId="0" borderId="26" xfId="0" applyFont="1" applyBorder="1" applyAlignment="1">
      <alignment horizontal="center" vertical="center" readingOrder="2"/>
    </xf>
    <xf numFmtId="0" fontId="6" fillId="0" borderId="25" xfId="0" applyFont="1" applyBorder="1" applyAlignment="1">
      <alignment horizontal="center" vertical="center" readingOrder="2"/>
    </xf>
    <xf numFmtId="0" fontId="6" fillId="0" borderId="30" xfId="0" applyFont="1" applyBorder="1" applyAlignment="1">
      <alignment horizontal="center" vertical="center" readingOrder="2"/>
    </xf>
    <xf numFmtId="0" fontId="6" fillId="0" borderId="26" xfId="0" applyFont="1" applyBorder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 readingOrder="2"/>
    </xf>
    <xf numFmtId="3" fontId="7" fillId="0" borderId="0" xfId="0" applyNumberFormat="1" applyFont="1" applyAlignment="1">
      <alignment horizontal="center"/>
    </xf>
    <xf numFmtId="3" fontId="7" fillId="0" borderId="1" xfId="0" applyNumberFormat="1" applyFont="1" applyBorder="1" applyAlignment="1">
      <alignment horizontal="center" vertical="center" readingOrder="2"/>
    </xf>
    <xf numFmtId="3" fontId="6" fillId="0" borderId="1" xfId="0" applyNumberFormat="1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  <xf numFmtId="0" fontId="6" fillId="0" borderId="0" xfId="0" applyFont="1" applyAlignment="1">
      <alignment horizontal="right" vertical="center" readingOrder="2"/>
    </xf>
    <xf numFmtId="0" fontId="9" fillId="0" borderId="0" xfId="0" applyFont="1" applyAlignment="1">
      <alignment horizontal="center" vertical="center" readingOrder="2"/>
    </xf>
    <xf numFmtId="0" fontId="3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 readingOrder="2"/>
    </xf>
    <xf numFmtId="0" fontId="3" fillId="0" borderId="31" xfId="0" applyFont="1" applyBorder="1" applyAlignment="1">
      <alignment horizontal="center" vertical="center" readingOrder="2"/>
    </xf>
    <xf numFmtId="0" fontId="3" fillId="0" borderId="32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readingOrder="2"/>
    </xf>
    <xf numFmtId="0" fontId="2" fillId="0" borderId="5" xfId="0" applyFont="1" applyBorder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0" fontId="3" fillId="0" borderId="1" xfId="0" applyFont="1" applyBorder="1" applyAlignment="1">
      <alignment horizontal="center" vertical="center" readingOrder="2"/>
    </xf>
    <xf numFmtId="0" fontId="2" fillId="0" borderId="16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14" xfId="0" applyFont="1" applyBorder="1" applyAlignment="1">
      <alignment horizontal="center" vertical="center" readingOrder="2"/>
    </xf>
    <xf numFmtId="0" fontId="9" fillId="0" borderId="26" xfId="0" applyFont="1" applyBorder="1" applyAlignment="1">
      <alignment horizontal="center" vertical="center" readingOrder="2"/>
    </xf>
    <xf numFmtId="0" fontId="9" fillId="0" borderId="25" xfId="0" applyFont="1" applyBorder="1" applyAlignment="1">
      <alignment horizontal="center" vertical="center" readingOrder="2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readingOrder="2"/>
    </xf>
    <xf numFmtId="0" fontId="2" fillId="0" borderId="21" xfId="0" applyFont="1" applyBorder="1" applyAlignment="1">
      <alignment horizontal="center" vertical="center" readingOrder="2"/>
    </xf>
    <xf numFmtId="0" fontId="2" fillId="0" borderId="5" xfId="0" applyFont="1" applyBorder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 readingOrder="2"/>
    </xf>
    <xf numFmtId="0" fontId="2" fillId="0" borderId="2" xfId="0" applyFont="1" applyBorder="1" applyAlignment="1">
      <alignment horizontal="right" wrapText="1" readingOrder="2"/>
    </xf>
    <xf numFmtId="0" fontId="2" fillId="0" borderId="3" xfId="0" applyFont="1" applyBorder="1" applyAlignment="1">
      <alignment horizontal="right" wrapText="1" readingOrder="2"/>
    </xf>
    <xf numFmtId="0" fontId="2" fillId="0" borderId="5" xfId="0" applyFont="1" applyBorder="1" applyAlignment="1">
      <alignment horizontal="center" readingOrder="2"/>
    </xf>
    <xf numFmtId="0" fontId="2" fillId="0" borderId="0" xfId="0" applyFont="1" applyAlignment="1">
      <alignment horizontal="center" readingOrder="2"/>
    </xf>
    <xf numFmtId="0" fontId="3" fillId="0" borderId="0" xfId="0" applyFont="1" applyAlignment="1">
      <alignment horizontal="right" vertical="center" readingOrder="2"/>
    </xf>
    <xf numFmtId="0" fontId="4" fillId="0" borderId="1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readingOrder="2"/>
    </xf>
    <xf numFmtId="0" fontId="4" fillId="0" borderId="27" xfId="0" applyFont="1" applyBorder="1" applyAlignment="1">
      <alignment horizontal="center" vertical="center" readingOrder="2"/>
    </xf>
    <xf numFmtId="0" fontId="2" fillId="0" borderId="10" xfId="0" applyFont="1" applyBorder="1" applyAlignment="1">
      <alignment horizontal="center" vertical="center" readingOrder="2"/>
    </xf>
    <xf numFmtId="0" fontId="2" fillId="0" borderId="11" xfId="0" applyFont="1" applyBorder="1" applyAlignment="1">
      <alignment horizontal="center" vertical="center" readingOrder="2"/>
    </xf>
    <xf numFmtId="0" fontId="2" fillId="0" borderId="13" xfId="0" applyFont="1" applyBorder="1" applyAlignment="1">
      <alignment horizontal="center" vertical="center" readingOrder="2"/>
    </xf>
    <xf numFmtId="0" fontId="2" fillId="0" borderId="27" xfId="0" applyFont="1" applyBorder="1" applyAlignment="1">
      <alignment horizontal="center" vertical="center" readingOrder="2"/>
    </xf>
    <xf numFmtId="0" fontId="3" fillId="0" borderId="14" xfId="0" applyFont="1" applyBorder="1" applyAlignment="1">
      <alignment horizontal="center" vertical="center" readingOrder="2"/>
    </xf>
    <xf numFmtId="0" fontId="3" fillId="0" borderId="29" xfId="0" applyFont="1" applyBorder="1" applyAlignment="1">
      <alignment horizontal="center" vertical="center" readingOrder="2"/>
    </xf>
    <xf numFmtId="0" fontId="3" fillId="0" borderId="13" xfId="0" applyFont="1" applyBorder="1" applyAlignment="1">
      <alignment horizontal="center" vertical="center" textRotation="90" readingOrder="2"/>
    </xf>
    <xf numFmtId="0" fontId="3" fillId="0" borderId="15" xfId="0" applyFont="1" applyBorder="1" applyAlignment="1">
      <alignment horizontal="center" vertical="center" textRotation="90" readingOrder="2"/>
    </xf>
    <xf numFmtId="0" fontId="9" fillId="0" borderId="13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14" xfId="0" applyFont="1" applyBorder="1" applyAlignment="1">
      <alignment horizontal="center" vertical="center" readingOrder="2"/>
    </xf>
    <xf numFmtId="0" fontId="2" fillId="0" borderId="17" xfId="0" applyFont="1" applyBorder="1" applyAlignment="1">
      <alignment horizontal="center" vertical="center" readingOrder="2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1" fillId="0" borderId="0" xfId="0" quotePrefix="1" applyFont="1" applyAlignment="1">
      <alignment horizontal="right" wrapText="1" readingOrder="2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</xdr:colOff>
      <xdr:row>1</xdr:row>
      <xdr:rowOff>28575</xdr:rowOff>
    </xdr:from>
    <xdr:to>
      <xdr:col>3</xdr:col>
      <xdr:colOff>1089025</xdr:colOff>
      <xdr:row>3</xdr:row>
      <xdr:rowOff>130969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3EB3DC-578F-9757-D2BC-7567D058F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8830750" y="266700"/>
          <a:ext cx="2198689" cy="626269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16</xdr:row>
      <xdr:rowOff>114300</xdr:rowOff>
    </xdr:from>
    <xdr:to>
      <xdr:col>1</xdr:col>
      <xdr:colOff>266700</xdr:colOff>
      <xdr:row>16</xdr:row>
      <xdr:rowOff>295275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D048CC1-1F18-5ED6-80C4-6E7D4EFAAA17}"/>
            </a:ext>
          </a:extLst>
        </xdr:cNvPr>
        <xdr:cNvSpPr/>
      </xdr:nvSpPr>
      <xdr:spPr>
        <a:xfrm>
          <a:off x="9989238975" y="3248025"/>
          <a:ext cx="171450" cy="180975"/>
        </a:xfrm>
        <a:prstGeom prst="rect">
          <a:avLst/>
        </a:prstGeom>
        <a:solidFill>
          <a:schemeClr val="tx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1</xdr:col>
      <xdr:colOff>85725</xdr:colOff>
      <xdr:row>17</xdr:row>
      <xdr:rowOff>66675</xdr:rowOff>
    </xdr:from>
    <xdr:to>
      <xdr:col>1</xdr:col>
      <xdr:colOff>257175</xdr:colOff>
      <xdr:row>17</xdr:row>
      <xdr:rowOff>247650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C8D9B12-67B0-494E-AACF-4432BCF24FA1}"/>
            </a:ext>
          </a:extLst>
        </xdr:cNvPr>
        <xdr:cNvSpPr/>
      </xdr:nvSpPr>
      <xdr:spPr>
        <a:xfrm>
          <a:off x="9989258025" y="5610225"/>
          <a:ext cx="171450" cy="180975"/>
        </a:xfrm>
        <a:prstGeom prst="rect">
          <a:avLst/>
        </a:prstGeom>
        <a:solidFill>
          <a:schemeClr val="tx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1181100</xdr:colOff>
      <xdr:row>0</xdr:row>
      <xdr:rowOff>0</xdr:rowOff>
    </xdr:from>
    <xdr:to>
      <xdr:col>9</xdr:col>
      <xdr:colOff>542925</xdr:colOff>
      <xdr:row>2</xdr:row>
      <xdr:rowOff>234950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87FF23-0786-4F0B-B21B-E0FF59814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1618975" y="0"/>
          <a:ext cx="188595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533400</xdr:colOff>
      <xdr:row>0</xdr:row>
      <xdr:rowOff>0</xdr:rowOff>
    </xdr:from>
    <xdr:to>
      <xdr:col>11</xdr:col>
      <xdr:colOff>158750</xdr:colOff>
      <xdr:row>3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38BB94-6A99-446F-9CA5-0F214D2A2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6818575" y="0"/>
          <a:ext cx="188277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5"/>
  <sheetViews>
    <sheetView rightToLeft="1" view="pageBreakPreview" zoomScaleNormal="100" zoomScaleSheetLayoutView="100" workbookViewId="0">
      <selection activeCell="H17" sqref="H17"/>
    </sheetView>
  </sheetViews>
  <sheetFormatPr defaultColWidth="9.140625" defaultRowHeight="18" x14ac:dyDescent="0.45"/>
  <cols>
    <col min="1" max="1" width="2.28515625" style="3" customWidth="1"/>
    <col min="2" max="2" width="4.5703125" style="3" customWidth="1"/>
    <col min="3" max="3" width="12.7109375" style="3" customWidth="1"/>
    <col min="4" max="4" width="17.7109375" style="3" bestFit="1" customWidth="1"/>
    <col min="5" max="5" width="15.140625" style="3" bestFit="1" customWidth="1"/>
    <col min="6" max="6" width="18" style="3" bestFit="1" customWidth="1"/>
    <col min="7" max="7" width="9.140625" style="3"/>
    <col min="8" max="8" width="13.7109375" style="3" customWidth="1"/>
    <col min="9" max="10" width="9.140625" style="3"/>
    <col min="11" max="11" width="8.7109375" style="3" customWidth="1"/>
    <col min="12" max="12" width="12" style="3" bestFit="1" customWidth="1"/>
    <col min="13" max="13" width="16.28515625" style="3" customWidth="1"/>
    <col min="14" max="16384" width="9.140625" style="3"/>
  </cols>
  <sheetData>
    <row r="1" spans="2:13" ht="18.75" thickBot="1" x14ac:dyDescent="0.5">
      <c r="B1" s="1"/>
      <c r="C1" s="1"/>
      <c r="D1" s="1"/>
      <c r="E1" s="2"/>
      <c r="F1" s="2"/>
      <c r="G1" s="2"/>
      <c r="H1" s="2"/>
      <c r="I1" s="2"/>
      <c r="J1" s="2"/>
      <c r="K1" s="2"/>
      <c r="L1" s="1"/>
    </row>
    <row r="2" spans="2:13" ht="21" x14ac:dyDescent="0.45">
      <c r="B2" s="103"/>
      <c r="C2" s="104"/>
      <c r="D2" s="104"/>
      <c r="E2" s="100" t="s">
        <v>0</v>
      </c>
      <c r="F2" s="100"/>
      <c r="G2" s="100"/>
      <c r="H2" s="100"/>
      <c r="I2" s="100"/>
      <c r="J2" s="100"/>
      <c r="K2" s="100"/>
      <c r="L2" s="19" t="s">
        <v>12</v>
      </c>
      <c r="M2" s="17" t="s">
        <v>11</v>
      </c>
    </row>
    <row r="3" spans="2:13" ht="21" x14ac:dyDescent="0.45">
      <c r="B3" s="105"/>
      <c r="C3" s="84"/>
      <c r="D3" s="84"/>
      <c r="E3" s="101"/>
      <c r="F3" s="101"/>
      <c r="G3" s="101"/>
      <c r="H3" s="101"/>
      <c r="I3" s="101"/>
      <c r="J3" s="101"/>
      <c r="K3" s="101"/>
      <c r="L3" s="20" t="s">
        <v>1</v>
      </c>
      <c r="M3" s="18" t="s">
        <v>65</v>
      </c>
    </row>
    <row r="4" spans="2:13" ht="21" customHeight="1" x14ac:dyDescent="0.45">
      <c r="B4" s="105"/>
      <c r="C4" s="84"/>
      <c r="D4" s="106"/>
      <c r="E4" s="102"/>
      <c r="F4" s="102"/>
      <c r="G4" s="101"/>
      <c r="H4" s="101"/>
      <c r="I4" s="101"/>
      <c r="J4" s="101"/>
      <c r="K4" s="101"/>
      <c r="L4" s="20" t="s">
        <v>2</v>
      </c>
      <c r="M4" s="18">
        <v>33</v>
      </c>
    </row>
    <row r="5" spans="2:13" ht="10.5" customHeight="1" x14ac:dyDescent="0.45">
      <c r="B5" s="111" t="s">
        <v>60</v>
      </c>
      <c r="C5" s="87"/>
      <c r="D5" s="30"/>
      <c r="E5" s="30"/>
      <c r="F5" s="30"/>
      <c r="G5" s="86" t="s">
        <v>62</v>
      </c>
      <c r="H5" s="87"/>
      <c r="I5" s="45"/>
      <c r="J5" s="27"/>
      <c r="K5" s="26"/>
      <c r="L5" s="90" t="s">
        <v>3</v>
      </c>
      <c r="M5" s="76"/>
    </row>
    <row r="6" spans="2:13" ht="16.5" customHeight="1" x14ac:dyDescent="0.45">
      <c r="B6" s="111"/>
      <c r="C6" s="87"/>
      <c r="D6" s="99" t="s">
        <v>66</v>
      </c>
      <c r="E6" s="99"/>
      <c r="F6" s="99"/>
      <c r="G6" s="86"/>
      <c r="H6" s="87"/>
      <c r="I6" s="48">
        <v>16743</v>
      </c>
      <c r="J6" s="44"/>
      <c r="K6" s="43"/>
      <c r="L6" s="91"/>
      <c r="M6" s="77"/>
    </row>
    <row r="7" spans="2:13" ht="18.75" customHeight="1" x14ac:dyDescent="0.45">
      <c r="B7" s="111"/>
      <c r="C7" s="87"/>
      <c r="D7" s="31"/>
      <c r="E7" s="31"/>
      <c r="F7" s="31"/>
      <c r="G7" s="86"/>
      <c r="H7" s="87"/>
      <c r="I7" s="48"/>
      <c r="J7" s="48"/>
      <c r="K7" s="48"/>
      <c r="L7" s="47" t="s">
        <v>4</v>
      </c>
      <c r="M7" s="46" t="s">
        <v>10</v>
      </c>
    </row>
    <row r="8" spans="2:13" ht="21" x14ac:dyDescent="0.45">
      <c r="B8" s="109" t="s">
        <v>5</v>
      </c>
      <c r="C8" s="16" t="s">
        <v>6</v>
      </c>
      <c r="D8" s="108" t="s">
        <v>57</v>
      </c>
      <c r="E8" s="108"/>
      <c r="F8" s="29" t="s">
        <v>7</v>
      </c>
      <c r="G8" s="82" t="s">
        <v>8</v>
      </c>
      <c r="H8" s="82"/>
      <c r="I8" s="82" t="s">
        <v>13</v>
      </c>
      <c r="J8" s="82"/>
      <c r="K8" s="82"/>
      <c r="L8" s="82" t="s">
        <v>9</v>
      </c>
      <c r="M8" s="107"/>
    </row>
    <row r="9" spans="2:13" ht="32.25" customHeight="1" x14ac:dyDescent="0.45">
      <c r="B9" s="109"/>
      <c r="C9" s="28">
        <v>1</v>
      </c>
      <c r="D9" s="88" t="s">
        <v>68</v>
      </c>
      <c r="E9" s="89"/>
      <c r="F9" s="38">
        <v>118800000000</v>
      </c>
      <c r="G9" s="82"/>
      <c r="H9" s="82"/>
      <c r="I9" s="84" t="s">
        <v>67</v>
      </c>
      <c r="J9" s="84"/>
      <c r="K9" s="84"/>
      <c r="L9" s="84"/>
      <c r="M9" s="85"/>
    </row>
    <row r="10" spans="2:13" ht="35.25" customHeight="1" x14ac:dyDescent="0.45">
      <c r="B10" s="109"/>
      <c r="C10" s="16">
        <v>2</v>
      </c>
      <c r="D10" s="88"/>
      <c r="E10" s="89"/>
      <c r="F10" s="39"/>
      <c r="G10" s="82"/>
      <c r="H10" s="82"/>
      <c r="I10" s="84"/>
      <c r="J10" s="84"/>
      <c r="K10" s="84"/>
      <c r="L10" s="112"/>
      <c r="M10" s="113"/>
    </row>
    <row r="11" spans="2:13" ht="37.5" customHeight="1" x14ac:dyDescent="0.45">
      <c r="B11" s="109"/>
      <c r="C11" s="16">
        <v>3</v>
      </c>
      <c r="D11" s="88"/>
      <c r="E11" s="89"/>
      <c r="F11" s="39"/>
      <c r="G11" s="82"/>
      <c r="H11" s="82"/>
      <c r="I11" s="84"/>
      <c r="J11" s="84"/>
      <c r="K11" s="84"/>
      <c r="L11" s="84"/>
      <c r="M11" s="85"/>
    </row>
    <row r="12" spans="2:13" ht="38.25" customHeight="1" x14ac:dyDescent="0.45">
      <c r="B12" s="109"/>
      <c r="C12" s="16">
        <v>4</v>
      </c>
      <c r="D12" s="88"/>
      <c r="E12" s="89"/>
      <c r="F12" s="39"/>
      <c r="G12" s="82"/>
      <c r="H12" s="82"/>
      <c r="I12" s="84"/>
      <c r="J12" s="84"/>
      <c r="K12" s="84"/>
      <c r="L12" s="84"/>
      <c r="M12" s="85"/>
    </row>
    <row r="13" spans="2:13" ht="42" customHeight="1" thickBot="1" x14ac:dyDescent="0.5">
      <c r="B13" s="110"/>
      <c r="C13" s="21">
        <v>5</v>
      </c>
      <c r="D13" s="83"/>
      <c r="E13" s="83"/>
      <c r="F13" s="40"/>
      <c r="G13" s="83"/>
      <c r="H13" s="83"/>
      <c r="I13" s="83"/>
      <c r="J13" s="83"/>
      <c r="K13" s="83"/>
      <c r="L13" s="83"/>
      <c r="M13" s="114"/>
    </row>
    <row r="14" spans="2:13" ht="19.5" thickBot="1" x14ac:dyDescent="0.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5"/>
    </row>
    <row r="15" spans="2:13" ht="36.75" customHeight="1" x14ac:dyDescent="0.45">
      <c r="B15" s="78" t="s">
        <v>14</v>
      </c>
      <c r="C15" s="79"/>
      <c r="D15" s="6"/>
      <c r="E15" s="6"/>
      <c r="F15" s="6"/>
      <c r="G15" s="6"/>
      <c r="H15" s="6"/>
      <c r="I15" s="6"/>
      <c r="J15" s="6"/>
      <c r="K15" s="6"/>
      <c r="L15" s="6"/>
      <c r="M15" s="7"/>
    </row>
    <row r="16" spans="2:13" ht="18.75" x14ac:dyDescent="0.45">
      <c r="B16" s="80" t="s">
        <v>15</v>
      </c>
      <c r="C16" s="81"/>
      <c r="D16" s="81"/>
      <c r="E16" s="81"/>
      <c r="F16" s="4"/>
      <c r="G16" s="4"/>
      <c r="H16" s="4"/>
      <c r="I16" s="4"/>
      <c r="J16" s="4"/>
      <c r="K16" s="4"/>
      <c r="L16" s="4"/>
      <c r="M16" s="9"/>
    </row>
    <row r="17" spans="2:13" ht="27.75" customHeight="1" x14ac:dyDescent="0.45">
      <c r="B17" s="8"/>
      <c r="C17" s="4" t="s">
        <v>16</v>
      </c>
      <c r="D17" s="15" t="str">
        <f>D9</f>
        <v>شرکت ساتراپ جهان</v>
      </c>
      <c r="E17" s="4"/>
      <c r="F17" s="4"/>
      <c r="G17" s="4"/>
      <c r="H17" s="4"/>
      <c r="I17" s="4"/>
      <c r="J17" s="4"/>
      <c r="K17" s="4"/>
      <c r="L17" s="4"/>
      <c r="M17" s="9"/>
    </row>
    <row r="18" spans="2:13" ht="21.75" customHeight="1" x14ac:dyDescent="0.45">
      <c r="B18" s="8"/>
      <c r="C18" s="81" t="s">
        <v>17</v>
      </c>
      <c r="D18" s="81"/>
      <c r="E18" s="81"/>
      <c r="F18" s="4"/>
      <c r="G18" s="4"/>
      <c r="H18" s="4"/>
      <c r="I18" s="4"/>
      <c r="J18" s="4"/>
      <c r="K18" s="4"/>
      <c r="L18" s="4"/>
      <c r="M18" s="9"/>
    </row>
    <row r="19" spans="2:13" ht="18.75" x14ac:dyDescent="0.45">
      <c r="B19" s="97" t="s">
        <v>59</v>
      </c>
      <c r="C19" s="98"/>
      <c r="D19" s="5"/>
      <c r="E19" s="5"/>
      <c r="F19" s="5"/>
      <c r="G19" s="5"/>
      <c r="H19" s="5"/>
      <c r="I19" s="5"/>
      <c r="J19" s="5"/>
      <c r="K19" s="5"/>
      <c r="L19" s="5"/>
      <c r="M19" s="9"/>
    </row>
    <row r="20" spans="2:13" ht="21" x14ac:dyDescent="0.55000000000000004">
      <c r="B20" s="10"/>
      <c r="C20" s="5"/>
      <c r="D20" s="5"/>
      <c r="E20" s="5"/>
      <c r="F20" s="5"/>
      <c r="G20" s="5"/>
      <c r="H20" s="5"/>
      <c r="I20" s="5"/>
      <c r="J20" s="5"/>
      <c r="K20" s="94" t="s">
        <v>18</v>
      </c>
      <c r="L20" s="94"/>
      <c r="M20" s="9"/>
    </row>
    <row r="21" spans="2:13" ht="10.5" customHeight="1" thickBot="1" x14ac:dyDescent="0.5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3"/>
    </row>
    <row r="22" spans="2:13" ht="39.75" customHeight="1" x14ac:dyDescent="0.45">
      <c r="B22" s="95" t="s">
        <v>19</v>
      </c>
      <c r="C22" s="96"/>
      <c r="D22" s="96"/>
      <c r="E22" s="14"/>
      <c r="F22" s="14"/>
      <c r="G22" s="14"/>
      <c r="H22" s="14"/>
      <c r="I22" s="14"/>
      <c r="J22" s="14"/>
      <c r="K22" s="14"/>
      <c r="L22" s="14"/>
      <c r="M22" s="7"/>
    </row>
    <row r="23" spans="2:13" ht="27.75" customHeight="1" x14ac:dyDescent="0.45">
      <c r="B23" s="92" t="s">
        <v>20</v>
      </c>
      <c r="C23" s="93"/>
      <c r="D23" s="93"/>
      <c r="E23" s="5"/>
      <c r="F23" s="5"/>
      <c r="G23" s="5"/>
      <c r="H23" s="5"/>
      <c r="I23" s="5"/>
      <c r="J23" s="5"/>
      <c r="K23" s="5"/>
      <c r="L23" s="5"/>
      <c r="M23" s="9"/>
    </row>
    <row r="24" spans="2:13" ht="21" x14ac:dyDescent="0.55000000000000004">
      <c r="B24" s="10"/>
      <c r="C24" s="5"/>
      <c r="D24" s="5"/>
      <c r="E24" s="5"/>
      <c r="F24" s="5"/>
      <c r="G24" s="5"/>
      <c r="H24" s="5"/>
      <c r="I24" s="5"/>
      <c r="J24" s="5"/>
      <c r="K24" s="94" t="s">
        <v>21</v>
      </c>
      <c r="L24" s="94"/>
      <c r="M24" s="9"/>
    </row>
    <row r="25" spans="2:13" ht="19.5" thickBot="1" x14ac:dyDescent="0.5"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3"/>
    </row>
  </sheetData>
  <mergeCells count="40">
    <mergeCell ref="D9:E9"/>
    <mergeCell ref="D6:F6"/>
    <mergeCell ref="E2:K4"/>
    <mergeCell ref="B2:D4"/>
    <mergeCell ref="L8:M8"/>
    <mergeCell ref="I8:K8"/>
    <mergeCell ref="G8:H8"/>
    <mergeCell ref="D8:E8"/>
    <mergeCell ref="B8:B13"/>
    <mergeCell ref="B5:C7"/>
    <mergeCell ref="L10:M10"/>
    <mergeCell ref="L11:M11"/>
    <mergeCell ref="L12:M12"/>
    <mergeCell ref="L13:M13"/>
    <mergeCell ref="I9:K9"/>
    <mergeCell ref="I10:K10"/>
    <mergeCell ref="I11:K11"/>
    <mergeCell ref="D12:E12"/>
    <mergeCell ref="B23:D23"/>
    <mergeCell ref="K24:L24"/>
    <mergeCell ref="B22:D22"/>
    <mergeCell ref="B19:C19"/>
    <mergeCell ref="K20:L20"/>
    <mergeCell ref="D13:E13"/>
    <mergeCell ref="M5:M6"/>
    <mergeCell ref="B15:C15"/>
    <mergeCell ref="B16:E16"/>
    <mergeCell ref="C18:E18"/>
    <mergeCell ref="G9:H9"/>
    <mergeCell ref="G10:H10"/>
    <mergeCell ref="G11:H11"/>
    <mergeCell ref="G12:H12"/>
    <mergeCell ref="G13:H13"/>
    <mergeCell ref="L9:M9"/>
    <mergeCell ref="I12:K12"/>
    <mergeCell ref="I13:K13"/>
    <mergeCell ref="G5:H7"/>
    <mergeCell ref="D10:E10"/>
    <mergeCell ref="D11:E11"/>
    <mergeCell ref="L5:L6"/>
  </mergeCells>
  <phoneticPr fontId="8" type="noConversion"/>
  <printOptions horizontalCentered="1" verticalCentered="1"/>
  <pageMargins left="0.31496062992125984" right="0.31496062992125984" top="0.15748031496062992" bottom="0.15748031496062992" header="0.11811023622047245" footer="0.11811023622047245"/>
  <pageSetup scale="8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17C9-6987-4C6F-AFA2-634A95CF2A06}">
  <dimension ref="A4:J25"/>
  <sheetViews>
    <sheetView rightToLeft="1" tabSelected="1" view="pageBreakPreview" zoomScaleNormal="100" zoomScaleSheetLayoutView="100" workbookViewId="0">
      <selection activeCell="S12" sqref="S12"/>
    </sheetView>
  </sheetViews>
  <sheetFormatPr defaultColWidth="9.140625" defaultRowHeight="20.25" x14ac:dyDescent="0.5"/>
  <cols>
    <col min="1" max="2" width="9.140625" style="22"/>
    <col min="3" max="3" width="3.7109375" style="22" customWidth="1"/>
    <col min="4" max="4" width="11.7109375" style="22" bestFit="1" customWidth="1"/>
    <col min="5" max="5" width="9.140625" style="22"/>
    <col min="6" max="6" width="11.28515625" style="22" customWidth="1"/>
    <col min="7" max="7" width="24.28515625" style="22" customWidth="1"/>
    <col min="8" max="8" width="9.140625" style="22" customWidth="1"/>
    <col min="9" max="9" width="4.42578125" style="22" customWidth="1"/>
    <col min="10" max="10" width="8.5703125" style="22" customWidth="1"/>
    <col min="11" max="16384" width="9.140625" style="22"/>
  </cols>
  <sheetData>
    <row r="4" spans="1:10" ht="21.75" x14ac:dyDescent="0.55000000000000004">
      <c r="H4" s="24" t="s">
        <v>1</v>
      </c>
      <c r="I4" s="74" t="str">
        <f>'فرم وضعیت استعلام'!$M$3</f>
        <v>1405/05/05</v>
      </c>
      <c r="J4" s="74"/>
    </row>
    <row r="5" spans="1:10" ht="21.75" x14ac:dyDescent="0.55000000000000004">
      <c r="H5" s="24" t="s">
        <v>12</v>
      </c>
      <c r="I5" s="24">
        <f>'فرم وضعیت استعلام'!$M$4</f>
        <v>33</v>
      </c>
      <c r="J5" s="25" t="s">
        <v>64</v>
      </c>
    </row>
    <row r="7" spans="1:10" ht="21.75" x14ac:dyDescent="0.55000000000000004">
      <c r="C7" s="74" t="s">
        <v>22</v>
      </c>
      <c r="D7" s="74"/>
      <c r="E7" s="74"/>
      <c r="F7" s="74"/>
      <c r="G7" s="74"/>
    </row>
    <row r="8" spans="1:10" ht="29.25" customHeight="1" x14ac:dyDescent="0.5"/>
    <row r="9" spans="1:10" ht="21.75" x14ac:dyDescent="0.5">
      <c r="A9" s="116" t="s">
        <v>23</v>
      </c>
      <c r="B9" s="116"/>
      <c r="C9" s="116"/>
      <c r="D9" s="55">
        <f>'فرم وضعیت استعلام'!I6</f>
        <v>16743</v>
      </c>
      <c r="E9" s="56" t="s">
        <v>24</v>
      </c>
      <c r="F9" s="55" t="str">
        <f>'فرم وضعیت استعلام'!M3</f>
        <v>1405/05/05</v>
      </c>
      <c r="G9" s="117" t="s">
        <v>61</v>
      </c>
      <c r="H9" s="117"/>
      <c r="I9" s="117"/>
      <c r="J9" s="117"/>
    </row>
    <row r="10" spans="1:10" x14ac:dyDescent="0.5">
      <c r="A10" s="49" t="s">
        <v>25</v>
      </c>
      <c r="B10" s="49"/>
      <c r="C10" s="32"/>
      <c r="D10" s="32"/>
      <c r="E10" s="32"/>
      <c r="F10" s="32"/>
      <c r="G10" s="32"/>
      <c r="H10" s="32"/>
      <c r="I10" s="32"/>
      <c r="J10" s="32"/>
    </row>
    <row r="11" spans="1:10" ht="30.75" customHeight="1" x14ac:dyDescent="0.5">
      <c r="A11" s="118" t="s">
        <v>69</v>
      </c>
      <c r="B11" s="118"/>
      <c r="C11" s="118"/>
      <c r="D11" s="118"/>
      <c r="E11" s="118"/>
      <c r="F11" s="118"/>
      <c r="G11" s="118"/>
      <c r="H11" s="118"/>
      <c r="I11" s="118"/>
      <c r="J11" s="118"/>
    </row>
    <row r="12" spans="1:10" ht="29.25" customHeight="1" x14ac:dyDescent="0.5">
      <c r="A12" s="118"/>
      <c r="B12" s="118"/>
      <c r="C12" s="118"/>
      <c r="D12" s="118"/>
      <c r="E12" s="118"/>
      <c r="F12" s="118"/>
      <c r="G12" s="118"/>
      <c r="H12" s="118"/>
      <c r="I12" s="118"/>
      <c r="J12" s="118"/>
    </row>
    <row r="13" spans="1:10" ht="30.75" customHeight="1" x14ac:dyDescent="0.5">
      <c r="A13" s="118"/>
      <c r="B13" s="118"/>
      <c r="C13" s="118"/>
      <c r="D13" s="118"/>
      <c r="E13" s="118"/>
      <c r="F13" s="118"/>
      <c r="G13" s="118"/>
      <c r="H13" s="118"/>
      <c r="I13" s="118"/>
      <c r="J13" s="118"/>
    </row>
    <row r="14" spans="1:10" ht="28.5" customHeight="1" x14ac:dyDescent="0.5">
      <c r="A14" s="118"/>
      <c r="B14" s="118"/>
      <c r="C14" s="118"/>
      <c r="D14" s="118"/>
      <c r="E14" s="118"/>
      <c r="F14" s="118"/>
      <c r="G14" s="118"/>
      <c r="H14" s="118"/>
      <c r="I14" s="118"/>
      <c r="J14" s="118"/>
    </row>
    <row r="15" spans="1:10" ht="38.25" customHeight="1" x14ac:dyDescent="0.5">
      <c r="A15" s="118"/>
      <c r="B15" s="118"/>
      <c r="C15" s="118"/>
      <c r="D15" s="118"/>
      <c r="E15" s="118"/>
      <c r="F15" s="118"/>
      <c r="G15" s="118"/>
      <c r="H15" s="118"/>
      <c r="I15" s="118"/>
      <c r="J15" s="118"/>
    </row>
    <row r="17" spans="1:10" x14ac:dyDescent="0.5">
      <c r="A17" s="22" t="s">
        <v>26</v>
      </c>
    </row>
    <row r="19" spans="1:10" ht="21.75" x14ac:dyDescent="0.55000000000000004">
      <c r="A19" s="115" t="s">
        <v>27</v>
      </c>
      <c r="B19" s="115"/>
      <c r="C19" s="115"/>
      <c r="D19" s="115"/>
      <c r="E19" s="74" t="str">
        <f>'فرم وضعیت استعلام'!D9</f>
        <v>شرکت ساتراپ جهان</v>
      </c>
      <c r="F19" s="74"/>
      <c r="G19" s="74"/>
      <c r="H19" s="22" t="s">
        <v>28</v>
      </c>
    </row>
    <row r="21" spans="1:10" ht="30" customHeight="1" x14ac:dyDescent="0.5">
      <c r="B21" s="121" t="s">
        <v>29</v>
      </c>
      <c r="C21" s="121"/>
      <c r="D21" s="121"/>
      <c r="E21" s="121" t="s">
        <v>30</v>
      </c>
      <c r="F21" s="121"/>
      <c r="G21" s="124" t="s">
        <v>31</v>
      </c>
      <c r="H21" s="125"/>
      <c r="I21" s="50"/>
      <c r="J21" s="51"/>
    </row>
    <row r="22" spans="1:10" ht="47.25" customHeight="1" x14ac:dyDescent="0.5">
      <c r="B22" s="122"/>
      <c r="C22" s="122"/>
      <c r="D22" s="122"/>
      <c r="E22" s="122"/>
      <c r="F22" s="122"/>
      <c r="G22" s="119"/>
      <c r="H22" s="120"/>
      <c r="I22" s="51"/>
      <c r="J22" s="51"/>
    </row>
    <row r="23" spans="1:10" ht="54.75" customHeight="1" x14ac:dyDescent="0.5">
      <c r="B23" s="122"/>
      <c r="C23" s="122"/>
      <c r="D23" s="122"/>
      <c r="E23" s="123"/>
      <c r="F23" s="123"/>
      <c r="G23" s="119"/>
      <c r="H23" s="126"/>
      <c r="I23" s="50"/>
      <c r="J23" s="51"/>
    </row>
    <row r="24" spans="1:10" ht="55.5" customHeight="1" x14ac:dyDescent="0.5">
      <c r="B24" s="122"/>
      <c r="C24" s="122"/>
      <c r="D24" s="122"/>
      <c r="E24" s="122"/>
      <c r="F24" s="122"/>
      <c r="G24" s="119"/>
      <c r="H24" s="120"/>
      <c r="I24" s="52"/>
      <c r="J24" s="51"/>
    </row>
    <row r="25" spans="1:10" ht="21.75" x14ac:dyDescent="0.55000000000000004">
      <c r="I25" s="24"/>
    </row>
  </sheetData>
  <mergeCells count="19">
    <mergeCell ref="G24:H24"/>
    <mergeCell ref="B21:D21"/>
    <mergeCell ref="B22:D22"/>
    <mergeCell ref="B23:D23"/>
    <mergeCell ref="B24:D24"/>
    <mergeCell ref="E24:F24"/>
    <mergeCell ref="E23:F23"/>
    <mergeCell ref="E22:F22"/>
    <mergeCell ref="E21:F21"/>
    <mergeCell ref="G21:H21"/>
    <mergeCell ref="G22:H22"/>
    <mergeCell ref="G23:H23"/>
    <mergeCell ref="A19:D19"/>
    <mergeCell ref="E19:G19"/>
    <mergeCell ref="I4:J4"/>
    <mergeCell ref="C7:G7"/>
    <mergeCell ref="A9:C9"/>
    <mergeCell ref="G9:J9"/>
    <mergeCell ref="A11:J15"/>
  </mergeCells>
  <pageMargins left="0.7" right="0.7" top="0.75" bottom="0.75" header="0.3" footer="0.3"/>
  <pageSetup scale="8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90D-CE6E-4DA8-9BC3-CC9AD2427A32}">
  <dimension ref="A5:M30"/>
  <sheetViews>
    <sheetView rightToLeft="1" view="pageBreakPreview" zoomScaleNormal="100" zoomScaleSheetLayoutView="100" workbookViewId="0">
      <selection activeCell="K6" sqref="K6"/>
    </sheetView>
  </sheetViews>
  <sheetFormatPr defaultRowHeight="15" x14ac:dyDescent="0.25"/>
  <cols>
    <col min="3" max="3" width="10.7109375" bestFit="1" customWidth="1"/>
    <col min="5" max="5" width="11.85546875" customWidth="1"/>
    <col min="6" max="7" width="8.28515625" customWidth="1"/>
    <col min="8" max="8" width="9.85546875" customWidth="1"/>
    <col min="9" max="9" width="11.28515625" customWidth="1"/>
    <col min="10" max="10" width="5.5703125" customWidth="1"/>
    <col min="11" max="11" width="7.28515625" customWidth="1"/>
    <col min="12" max="12" width="11.28515625" customWidth="1"/>
  </cols>
  <sheetData>
    <row r="5" spans="1:13" ht="21.75" x14ac:dyDescent="0.55000000000000004">
      <c r="I5" s="41" t="s">
        <v>1</v>
      </c>
      <c r="J5" s="74" t="str">
        <f>'فرم وضعیت استعلام'!$M$3</f>
        <v>1405/05/05</v>
      </c>
      <c r="K5" s="74"/>
    </row>
    <row r="6" spans="1:13" ht="21.75" x14ac:dyDescent="0.55000000000000004">
      <c r="I6" s="41" t="s">
        <v>12</v>
      </c>
      <c r="J6" s="54">
        <f>'فرم وضعیت استعلام'!M4</f>
        <v>33</v>
      </c>
      <c r="K6" s="25" t="s">
        <v>64</v>
      </c>
    </row>
    <row r="7" spans="1:13" ht="21.75" x14ac:dyDescent="0.55000000000000004">
      <c r="C7" s="74" t="s">
        <v>32</v>
      </c>
      <c r="D7" s="74"/>
      <c r="E7" s="74"/>
      <c r="F7" s="74"/>
      <c r="G7" s="74"/>
      <c r="H7" s="74"/>
    </row>
    <row r="8" spans="1:13" ht="21" x14ac:dyDescent="0.55000000000000004">
      <c r="A8" s="34" t="s">
        <v>33</v>
      </c>
      <c r="B8" s="72" t="str">
        <f>'فرم وضعیت استعلام'!D6</f>
        <v>پایه فلزی آینه جانبی J4</v>
      </c>
      <c r="C8" s="72"/>
      <c r="D8" s="72"/>
      <c r="E8" s="23"/>
      <c r="F8" s="23"/>
      <c r="G8" s="23"/>
      <c r="H8" s="23"/>
      <c r="I8" s="23"/>
      <c r="J8" s="23"/>
      <c r="K8" s="23"/>
      <c r="L8" s="23"/>
    </row>
    <row r="9" spans="1:13" ht="21" x14ac:dyDescent="0.55000000000000004">
      <c r="A9" s="72" t="s">
        <v>34</v>
      </c>
      <c r="B9" s="72"/>
      <c r="C9" s="34" t="str">
        <f>J5</f>
        <v>1405/05/05</v>
      </c>
      <c r="D9" s="34"/>
      <c r="E9" s="23"/>
      <c r="F9" s="23"/>
      <c r="G9" s="23"/>
      <c r="H9" s="23"/>
      <c r="I9" s="23"/>
      <c r="J9" s="23"/>
      <c r="K9" s="23"/>
      <c r="L9" s="23"/>
    </row>
    <row r="10" spans="1:13" ht="21" x14ac:dyDescent="0.55000000000000004">
      <c r="A10" s="72" t="s">
        <v>35</v>
      </c>
      <c r="B10" s="72"/>
      <c r="C10" s="34" t="s">
        <v>36</v>
      </c>
      <c r="D10" s="34"/>
      <c r="E10" s="23"/>
      <c r="F10" s="23"/>
      <c r="G10" s="23"/>
      <c r="H10" s="23"/>
      <c r="I10" s="23"/>
      <c r="J10" s="23"/>
      <c r="K10" s="23"/>
      <c r="L10" s="23"/>
    </row>
    <row r="11" spans="1:13" ht="21" x14ac:dyDescent="0.55000000000000004">
      <c r="A11" s="72" t="s">
        <v>37</v>
      </c>
      <c r="B11" s="72"/>
      <c r="C11" s="34" t="s">
        <v>38</v>
      </c>
      <c r="D11" s="34"/>
      <c r="E11" s="23"/>
      <c r="F11" s="23"/>
      <c r="G11" s="23"/>
      <c r="H11" s="23"/>
      <c r="I11" s="23"/>
      <c r="J11" s="23"/>
      <c r="K11" s="23"/>
      <c r="L11" s="23"/>
    </row>
    <row r="12" spans="1:13" ht="20.25" x14ac:dyDescent="0.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3" ht="21.75" x14ac:dyDescent="0.55000000000000004">
      <c r="A13" s="73" t="s">
        <v>39</v>
      </c>
      <c r="B13" s="73"/>
      <c r="C13" s="73"/>
      <c r="D13" s="73"/>
      <c r="E13" s="73"/>
      <c r="F13" s="36">
        <f>'فرم وضعیت استعلام'!I6</f>
        <v>16743</v>
      </c>
      <c r="G13" s="37" t="s">
        <v>24</v>
      </c>
      <c r="H13" s="57" t="str">
        <f>'فرم وضعیت استعلام'!M3</f>
        <v>1405/05/05</v>
      </c>
      <c r="I13" s="37" t="s">
        <v>56</v>
      </c>
      <c r="J13" s="75" t="str">
        <f>B8</f>
        <v>پایه فلزی آینه جانبی J4</v>
      </c>
      <c r="K13" s="75"/>
      <c r="L13" s="75"/>
      <c r="M13" s="25"/>
    </row>
    <row r="14" spans="1:13" ht="20.25" x14ac:dyDescent="0.5">
      <c r="A14" s="73" t="s">
        <v>40</v>
      </c>
      <c r="B14" s="73"/>
      <c r="C14" s="73"/>
      <c r="D14" s="73"/>
      <c r="E14" s="23"/>
      <c r="F14" s="23"/>
      <c r="G14" s="23"/>
      <c r="H14" s="23"/>
      <c r="I14" s="23"/>
      <c r="J14" s="23"/>
      <c r="K14" s="23"/>
      <c r="L14" s="23"/>
    </row>
    <row r="15" spans="1:13" ht="20.25" x14ac:dyDescent="0.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3" ht="24" customHeight="1" x14ac:dyDescent="0.5">
      <c r="A16" s="23"/>
      <c r="B16" s="33" t="s">
        <v>6</v>
      </c>
      <c r="C16" s="64" t="s">
        <v>41</v>
      </c>
      <c r="D16" s="64"/>
      <c r="E16" s="64"/>
      <c r="F16" s="64"/>
      <c r="G16" s="64" t="s">
        <v>42</v>
      </c>
      <c r="H16" s="64"/>
      <c r="I16" s="64"/>
      <c r="J16" s="64"/>
      <c r="K16" s="64"/>
      <c r="L16" s="23"/>
    </row>
    <row r="17" spans="1:12" ht="27.75" customHeight="1" x14ac:dyDescent="0.5">
      <c r="A17" s="23"/>
      <c r="B17" s="33">
        <v>1</v>
      </c>
      <c r="C17" s="58" t="str">
        <f>'فرم وضعیت استعلام'!D9</f>
        <v>شرکت ساتراپ جهان</v>
      </c>
      <c r="D17" s="59"/>
      <c r="E17" s="59"/>
      <c r="F17" s="60"/>
      <c r="G17" s="67">
        <f>'فرم وضعیت استعلام'!F9</f>
        <v>118800000000</v>
      </c>
      <c r="H17" s="67"/>
      <c r="I17" s="67"/>
      <c r="J17" s="67"/>
      <c r="K17" s="67"/>
      <c r="L17" s="23"/>
    </row>
    <row r="18" spans="1:12" ht="25.5" customHeight="1" x14ac:dyDescent="0.5">
      <c r="A18" s="23"/>
      <c r="B18" s="33">
        <v>2</v>
      </c>
      <c r="C18" s="61">
        <f>'فرم وضعیت استعلام'!D10</f>
        <v>0</v>
      </c>
      <c r="D18" s="62"/>
      <c r="E18" s="62"/>
      <c r="F18" s="63"/>
      <c r="G18" s="68">
        <f>'فرم وضعیت استعلام'!F10</f>
        <v>0</v>
      </c>
      <c r="H18" s="68"/>
      <c r="I18" s="68"/>
      <c r="J18" s="68"/>
      <c r="K18" s="68"/>
      <c r="L18" s="23"/>
    </row>
    <row r="19" spans="1:12" ht="25.5" customHeight="1" x14ac:dyDescent="0.5">
      <c r="A19" s="23"/>
      <c r="B19" s="33">
        <v>3</v>
      </c>
      <c r="C19" s="61">
        <f>'فرم وضعیت استعلام'!D11</f>
        <v>0</v>
      </c>
      <c r="D19" s="62"/>
      <c r="E19" s="62"/>
      <c r="F19" s="63"/>
      <c r="G19" s="68">
        <f>'فرم وضعیت استعلام'!F11</f>
        <v>0</v>
      </c>
      <c r="H19" s="68"/>
      <c r="I19" s="68"/>
      <c r="J19" s="68"/>
      <c r="K19" s="68"/>
      <c r="L19" s="23"/>
    </row>
    <row r="20" spans="1:12" ht="24.75" customHeight="1" x14ac:dyDescent="0.5">
      <c r="A20" s="23"/>
      <c r="B20" s="33">
        <v>4</v>
      </c>
      <c r="C20" s="61">
        <f>'فرم وضعیت استعلام'!D12</f>
        <v>0</v>
      </c>
      <c r="D20" s="62"/>
      <c r="E20" s="62"/>
      <c r="F20" s="63"/>
      <c r="G20" s="68">
        <f>'فرم وضعیت استعلام'!F12</f>
        <v>0</v>
      </c>
      <c r="H20" s="68"/>
      <c r="I20" s="68"/>
      <c r="J20" s="68"/>
      <c r="K20" s="68"/>
      <c r="L20" s="23"/>
    </row>
    <row r="21" spans="1:12" ht="20.25" x14ac:dyDescent="0.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20.25" x14ac:dyDescent="0.25">
      <c r="A22" s="70" t="s">
        <v>43</v>
      </c>
      <c r="B22" s="70"/>
      <c r="C22" s="70"/>
      <c r="D22" s="70"/>
      <c r="E22" s="70"/>
      <c r="F22" s="53">
        <f>'گزارش فنی و مهندسی تامین اقلام'!I5</f>
        <v>33</v>
      </c>
      <c r="G22" s="42" t="str">
        <f>'گزارش فنی و مهندسی تامین اقلام'!J5</f>
        <v>/1404/م</v>
      </c>
      <c r="H22" s="37" t="s">
        <v>44</v>
      </c>
      <c r="I22" s="35" t="str">
        <f>'فرم وضعیت استعلام'!M3</f>
        <v>1405/05/05</v>
      </c>
      <c r="J22" s="35" t="s">
        <v>58</v>
      </c>
      <c r="K22" s="35"/>
      <c r="L22" s="35"/>
    </row>
    <row r="23" spans="1:12" ht="21.75" x14ac:dyDescent="0.55000000000000004">
      <c r="A23" s="71" t="str">
        <f>'فرم وضعیت استعلام'!D9</f>
        <v>شرکت ساتراپ جهان</v>
      </c>
      <c r="B23" s="71"/>
      <c r="C23" s="71"/>
      <c r="D23" s="69" t="s">
        <v>45</v>
      </c>
      <c r="E23" s="69"/>
      <c r="F23" s="66">
        <f>'فرم وضعیت استعلام'!F9</f>
        <v>118800000000</v>
      </c>
      <c r="G23" s="66"/>
      <c r="H23" s="35" t="s">
        <v>46</v>
      </c>
      <c r="I23" s="69" t="s">
        <v>47</v>
      </c>
      <c r="J23" s="69"/>
      <c r="K23" s="69"/>
      <c r="L23" s="35"/>
    </row>
    <row r="24" spans="1:12" ht="20.25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</row>
    <row r="25" spans="1:12" ht="27.75" customHeight="1" x14ac:dyDescent="0.25">
      <c r="A25" s="35"/>
      <c r="B25" s="58" t="s">
        <v>29</v>
      </c>
      <c r="C25" s="59"/>
      <c r="D25" s="60"/>
      <c r="E25" s="65" t="s">
        <v>30</v>
      </c>
      <c r="F25" s="65"/>
      <c r="G25" s="65"/>
      <c r="H25" s="65"/>
      <c r="I25" s="58" t="s">
        <v>48</v>
      </c>
      <c r="J25" s="59"/>
      <c r="K25" s="60"/>
      <c r="L25" s="35"/>
    </row>
    <row r="26" spans="1:12" ht="57" customHeight="1" x14ac:dyDescent="0.25">
      <c r="A26" s="35"/>
      <c r="B26" s="61" t="s">
        <v>50</v>
      </c>
      <c r="C26" s="62"/>
      <c r="D26" s="63"/>
      <c r="E26" s="64" t="s">
        <v>63</v>
      </c>
      <c r="F26" s="64"/>
      <c r="G26" s="64"/>
      <c r="H26" s="64"/>
      <c r="I26" s="61"/>
      <c r="J26" s="62"/>
      <c r="K26" s="63"/>
      <c r="L26" s="35"/>
    </row>
    <row r="27" spans="1:12" ht="54" customHeight="1" x14ac:dyDescent="0.25">
      <c r="A27" s="35"/>
      <c r="B27" s="61" t="s">
        <v>52</v>
      </c>
      <c r="C27" s="62"/>
      <c r="D27" s="63"/>
      <c r="E27" s="64" t="s">
        <v>55</v>
      </c>
      <c r="F27" s="64"/>
      <c r="G27" s="64"/>
      <c r="H27" s="64"/>
      <c r="I27" s="61"/>
      <c r="J27" s="62"/>
      <c r="K27" s="63"/>
      <c r="L27" s="35"/>
    </row>
    <row r="28" spans="1:12" ht="55.5" customHeight="1" x14ac:dyDescent="0.25">
      <c r="A28" s="35"/>
      <c r="B28" s="61" t="s">
        <v>51</v>
      </c>
      <c r="C28" s="62"/>
      <c r="D28" s="63"/>
      <c r="E28" s="64" t="s">
        <v>54</v>
      </c>
      <c r="F28" s="64"/>
      <c r="G28" s="64"/>
      <c r="H28" s="64"/>
      <c r="I28" s="61"/>
      <c r="J28" s="62"/>
      <c r="K28" s="63"/>
      <c r="L28" s="35"/>
    </row>
    <row r="29" spans="1:12" ht="54" customHeight="1" x14ac:dyDescent="0.25">
      <c r="A29" s="35"/>
      <c r="B29" s="61" t="s">
        <v>49</v>
      </c>
      <c r="C29" s="62"/>
      <c r="D29" s="63"/>
      <c r="E29" s="64" t="s">
        <v>53</v>
      </c>
      <c r="F29" s="64"/>
      <c r="G29" s="64"/>
      <c r="H29" s="64"/>
      <c r="I29" s="61"/>
      <c r="J29" s="62"/>
      <c r="K29" s="63"/>
      <c r="L29" s="35"/>
    </row>
    <row r="30" spans="1:12" ht="20.25" x14ac:dyDescent="0.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</sheetData>
  <mergeCells count="39">
    <mergeCell ref="A11:B11"/>
    <mergeCell ref="A13:E13"/>
    <mergeCell ref="A14:D14"/>
    <mergeCell ref="C16:F16"/>
    <mergeCell ref="J5:K5"/>
    <mergeCell ref="B8:D8"/>
    <mergeCell ref="A9:B9"/>
    <mergeCell ref="A10:B10"/>
    <mergeCell ref="C7:H7"/>
    <mergeCell ref="J13:L13"/>
    <mergeCell ref="G16:K16"/>
    <mergeCell ref="F23:G23"/>
    <mergeCell ref="G17:K17"/>
    <mergeCell ref="G18:K18"/>
    <mergeCell ref="C17:F17"/>
    <mergeCell ref="C18:F18"/>
    <mergeCell ref="C19:F19"/>
    <mergeCell ref="C20:F20"/>
    <mergeCell ref="G19:K19"/>
    <mergeCell ref="G20:K20"/>
    <mergeCell ref="I23:K23"/>
    <mergeCell ref="A22:E22"/>
    <mergeCell ref="A23:C23"/>
    <mergeCell ref="D23:E23"/>
    <mergeCell ref="B26:D26"/>
    <mergeCell ref="B27:D27"/>
    <mergeCell ref="B28:D28"/>
    <mergeCell ref="B29:D29"/>
    <mergeCell ref="B25:D25"/>
    <mergeCell ref="E29:H29"/>
    <mergeCell ref="E28:H28"/>
    <mergeCell ref="E27:H27"/>
    <mergeCell ref="E26:H26"/>
    <mergeCell ref="E25:H25"/>
    <mergeCell ref="I25:K25"/>
    <mergeCell ref="I26:K26"/>
    <mergeCell ref="I27:K27"/>
    <mergeCell ref="I28:K28"/>
    <mergeCell ref="I29:K29"/>
  </mergeCells>
  <pageMargins left="0.31496062992125984" right="0.70866141732283472" top="0.74803149606299213" bottom="0.35433070866141736" header="0.31496062992125984" footer="0.31496062992125984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فرم وضعیت استعلام</vt:lpstr>
      <vt:lpstr>گزارش فنی و مهندسی تامین اقلام</vt:lpstr>
      <vt:lpstr>صورتجلسه کمیسیون معاملات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Behnam Sarikhani</dc:creator>
  <cp:lastModifiedBy>Farid Ahmadi</cp:lastModifiedBy>
  <cp:lastPrinted>2026-07-28T11:22:43Z</cp:lastPrinted>
  <dcterms:created xsi:type="dcterms:W3CDTF">2015-06-05T18:17:20Z</dcterms:created>
  <dcterms:modified xsi:type="dcterms:W3CDTF">2026-07-28T11:23:19Z</dcterms:modified>
</cp:coreProperties>
</file>