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khani\Desktop\"/>
    </mc:Choice>
  </mc:AlternateContent>
  <xr:revisionPtr revIDLastSave="0" documentId="8_{A0D2A340-6424-4ECA-879C-663103DE15A2}" xr6:coauthVersionLast="47" xr6:coauthVersionMax="47" xr10:uidLastSave="{00000000-0000-0000-0000-000000000000}"/>
  <bookViews>
    <workbookView xWindow="-120" yWindow="-120" windowWidth="29040" windowHeight="15840" xr2:uid="{2FE45202-9FA0-4F3C-8AF7-64B624139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I21" i="1" s="1"/>
  <c r="G20" i="1"/>
  <c r="I20" i="1" s="1"/>
  <c r="G19" i="1"/>
  <c r="I19" i="1" s="1"/>
  <c r="I18" i="1"/>
  <c r="G18" i="1"/>
  <c r="I17" i="1"/>
  <c r="G17" i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8" i="1" s="1"/>
  <c r="I7" i="1"/>
  <c r="G7" i="1"/>
  <c r="H7" i="1" s="1"/>
  <c r="G6" i="1"/>
  <c r="G5" i="1"/>
  <c r="H5" i="1" s="1"/>
  <c r="I5" i="1" s="1"/>
  <c r="G4" i="1"/>
  <c r="H4" i="1" s="1"/>
  <c r="I4" i="1" s="1"/>
  <c r="G3" i="1"/>
  <c r="H3" i="1" s="1"/>
  <c r="I3" i="1" s="1"/>
  <c r="I22" i="1" s="1"/>
</calcChain>
</file>

<file path=xl/sharedStrings.xml><?xml version="1.0" encoding="utf-8"?>
<sst xmlns="http://schemas.openxmlformats.org/spreadsheetml/2006/main" count="44" uniqueCount="38">
  <si>
    <t>تمامی مبالغ به ریال می باشد</t>
  </si>
  <si>
    <t>لیست پرداخت واحد تدارکات و بازرگانی - شرکت مجموعه های خودرو مهر</t>
  </si>
  <si>
    <t>لیست شماره :</t>
  </si>
  <si>
    <t xml:space="preserve">تاریخ :  </t>
  </si>
  <si>
    <t>1405/06/09</t>
  </si>
  <si>
    <t>ردیف</t>
  </si>
  <si>
    <t>نام كارشناس</t>
  </si>
  <si>
    <t>شماره درخواست</t>
  </si>
  <si>
    <t>خلاصه شرح کالا</t>
  </si>
  <si>
    <t>كل مبلغ خريد / قرارداد</t>
  </si>
  <si>
    <t>مبلغ پرداخت شده</t>
  </si>
  <si>
    <t>مانده طلب (ریال)</t>
  </si>
  <si>
    <t>مبلغ قابل پرداخت (ریال)</t>
  </si>
  <si>
    <t>مبلغ پیشنهادی پرداخت</t>
  </si>
  <si>
    <t>توضیحات</t>
  </si>
  <si>
    <t>نام تامین کننده</t>
  </si>
  <si>
    <t>دستور مدیریت</t>
  </si>
  <si>
    <t>رضازاده</t>
  </si>
  <si>
    <t>پیم کج</t>
  </si>
  <si>
    <t>پرداخت کامل</t>
  </si>
  <si>
    <t>تالسیا</t>
  </si>
  <si>
    <t>مجمومه لوله سوخت</t>
  </si>
  <si>
    <t>پارسایاران خراسان</t>
  </si>
  <si>
    <t>16839-16894</t>
  </si>
  <si>
    <t>فیلترهای سوخت</t>
  </si>
  <si>
    <t>بازرگانی ثابت شبستری</t>
  </si>
  <si>
    <t>احمدی</t>
  </si>
  <si>
    <t>16736-16737-16831-16916-16888-16887</t>
  </si>
  <si>
    <t>پیچ های ایینه تا اذر ماه
پیچ رودری X5 تا آذرماه و پیچ PS12 و پیچ X5</t>
  </si>
  <si>
    <t>پرداخت کامل جهت جلوگیری از افزایش قیمت و تحویل کالا</t>
  </si>
  <si>
    <t>پیچ سازان</t>
  </si>
  <si>
    <t>مواد سپر J4</t>
  </si>
  <si>
    <t>پرداخت قسط دوم</t>
  </si>
  <si>
    <t>پتروشیمی کرمان</t>
  </si>
  <si>
    <t>ساریخانی</t>
  </si>
  <si>
    <t>فرم رسید کالا</t>
  </si>
  <si>
    <t>چاپ گویا</t>
  </si>
  <si>
    <t>جمع (ریال)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</si>
</sst>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-_ ;_ * #,##0.00\-_ ;_ * &quot;-&quot;??_-_ ;_ @_ "/>
    <numFmt numFmtId="164" formatCode="_(* #,##0_);_(* \(#,##0\);_(* &quot;-&quot;??_);_(@_)"/>
    <numFmt numFmtId="165" formatCode="_(* #,##0.0_);_(* \(#,##0.0\);_(* &quot;-&quot;??_);_(@_)"/>
  </numFmts>
  <fonts count="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28"/>
      <color theme="1"/>
      <name val="B Titr"/>
      <charset val="178"/>
    </font>
    <font>
      <b/>
      <sz val="28"/>
      <color theme="1"/>
      <name val="B Titr"/>
      <charset val="178"/>
    </font>
    <font>
      <sz val="36"/>
      <color theme="1"/>
      <name val="B Titr"/>
      <charset val="178"/>
    </font>
    <font>
      <sz val="24"/>
      <color theme="1"/>
      <name val="B Titr"/>
      <charset val="178"/>
    </font>
    <font>
      <sz val="26"/>
      <color theme="1"/>
      <name val="B Titr"/>
      <charset val="178"/>
    </font>
    <font>
      <b/>
      <sz val="48"/>
      <color theme="1"/>
      <name val="B Nazanin"/>
      <charset val="178"/>
    </font>
    <font>
      <sz val="48"/>
      <color theme="1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0" fontId="2" fillId="3" borderId="4" xfId="1" applyNumberFormat="1" applyFont="1" applyFill="1" applyBorder="1" applyAlignment="1">
      <alignment horizontal="center"/>
    </xf>
    <xf numFmtId="164" fontId="2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164" fontId="2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0" fontId="2" fillId="3" borderId="8" xfId="1" applyNumberFormat="1" applyFont="1" applyFill="1" applyBorder="1" applyAlignment="1">
      <alignment horizontal="center"/>
    </xf>
    <xf numFmtId="164" fontId="2" fillId="2" borderId="9" xfId="1" applyNumberFormat="1" applyFont="1" applyFill="1" applyBorder="1" applyAlignment="1">
      <alignment horizontal="center" vertical="center"/>
    </xf>
    <xf numFmtId="0" fontId="3" fillId="2" borderId="10" xfId="1" applyNumberFormat="1" applyFont="1" applyFill="1" applyBorder="1" applyAlignment="1">
      <alignment horizontal="center" vertical="center" wrapText="1"/>
    </xf>
    <xf numFmtId="0" fontId="4" fillId="0" borderId="7" xfId="1" applyNumberFormat="1" applyFont="1" applyBorder="1" applyAlignment="1">
      <alignment horizontal="center" vertical="center" wrapText="1"/>
    </xf>
    <xf numFmtId="0" fontId="2" fillId="0" borderId="7" xfId="1" applyNumberFormat="1" applyFont="1" applyBorder="1" applyAlignment="1">
      <alignment horizontal="center" vertical="center" wrapText="1"/>
    </xf>
    <xf numFmtId="0" fontId="5" fillId="0" borderId="7" xfId="1" applyNumberFormat="1" applyFont="1" applyBorder="1" applyAlignment="1">
      <alignment horizontal="center" vertical="center" wrapText="1"/>
    </xf>
    <xf numFmtId="0" fontId="6" fillId="0" borderId="7" xfId="1" applyNumberFormat="1" applyFont="1" applyBorder="1" applyAlignment="1">
      <alignment horizontal="center" vertical="center" wrapText="1"/>
    </xf>
    <xf numFmtId="164" fontId="3" fillId="2" borderId="10" xfId="1" applyNumberFormat="1" applyFont="1" applyFill="1" applyBorder="1" applyAlignment="1">
      <alignment horizontal="center" vertical="center"/>
    </xf>
    <xf numFmtId="164" fontId="2" fillId="0" borderId="7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6" fillId="0" borderId="7" xfId="1" applyNumberFormat="1" applyFont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0" fontId="2" fillId="3" borderId="8" xfId="1" applyNumberFormat="1" applyFont="1" applyFill="1" applyBorder="1" applyAlignment="1">
      <alignment horizontal="center" vertical="center"/>
    </xf>
    <xf numFmtId="164" fontId="3" fillId="2" borderId="11" xfId="1" applyNumberFormat="1" applyFont="1" applyFill="1" applyBorder="1" applyAlignment="1">
      <alignment horizontal="center" vertical="center" readingOrder="1"/>
    </xf>
    <xf numFmtId="164" fontId="7" fillId="3" borderId="7" xfId="1" applyNumberFormat="1" applyFont="1" applyFill="1" applyBorder="1" applyAlignment="1">
      <alignment horizontal="center" vertical="center" wrapText="1" readingOrder="1"/>
    </xf>
    <xf numFmtId="164" fontId="7" fillId="3" borderId="7" xfId="1" applyNumberFormat="1" applyFont="1" applyFill="1" applyBorder="1" applyAlignment="1">
      <alignment horizontal="center" vertical="center" wrapText="1"/>
    </xf>
    <xf numFmtId="164" fontId="2" fillId="3" borderId="8" xfId="1" applyNumberFormat="1" applyFont="1" applyFill="1" applyBorder="1" applyAlignment="1">
      <alignment horizontal="center" vertical="center" readingOrder="1"/>
    </xf>
    <xf numFmtId="0" fontId="2" fillId="2" borderId="1" xfId="1" applyNumberFormat="1" applyFont="1" applyFill="1" applyBorder="1" applyAlignment="1">
      <alignment horizontal="left" vertical="center"/>
    </xf>
    <xf numFmtId="164" fontId="2" fillId="2" borderId="11" xfId="1" applyNumberFormat="1" applyFont="1" applyFill="1" applyBorder="1" applyAlignment="1">
      <alignment horizontal="center" vertical="center" readingOrder="1"/>
    </xf>
    <xf numFmtId="164" fontId="7" fillId="4" borderId="7" xfId="1" applyNumberFormat="1" applyFont="1" applyFill="1" applyBorder="1" applyAlignment="1">
      <alignment horizontal="center" vertical="center" wrapText="1" readingOrder="1"/>
    </xf>
    <xf numFmtId="164" fontId="8" fillId="3" borderId="12" xfId="1" applyNumberFormat="1" applyFont="1" applyFill="1" applyBorder="1" applyAlignment="1">
      <alignment horizontal="center" vertical="center" readingOrder="1"/>
    </xf>
    <xf numFmtId="164" fontId="2" fillId="2" borderId="9" xfId="1" applyNumberFormat="1" applyFont="1" applyFill="1" applyBorder="1" applyAlignment="1">
      <alignment vertical="center"/>
    </xf>
    <xf numFmtId="164" fontId="2" fillId="4" borderId="7" xfId="1" applyNumberFormat="1" applyFont="1" applyFill="1" applyBorder="1" applyAlignment="1">
      <alignment horizontal="center" vertical="center" wrapText="1" readingOrder="1"/>
    </xf>
    <xf numFmtId="164" fontId="5" fillId="4" borderId="7" xfId="1" applyNumberFormat="1" applyFont="1" applyFill="1" applyBorder="1" applyAlignment="1">
      <alignment horizontal="center" vertical="center" wrapText="1" readingOrder="1"/>
    </xf>
    <xf numFmtId="165" fontId="2" fillId="4" borderId="7" xfId="1" applyNumberFormat="1" applyFont="1" applyFill="1" applyBorder="1" applyAlignment="1">
      <alignment horizontal="center" vertical="center" wrapText="1" readingOrder="1"/>
    </xf>
    <xf numFmtId="164" fontId="2" fillId="3" borderId="13" xfId="1" applyNumberFormat="1" applyFont="1" applyFill="1" applyBorder="1" applyAlignment="1">
      <alignment horizontal="center" vertical="center" readingOrder="1"/>
    </xf>
    <xf numFmtId="0" fontId="2" fillId="2" borderId="5" xfId="1" applyNumberFormat="1" applyFont="1" applyFill="1" applyBorder="1" applyAlignment="1">
      <alignment horizontal="left" vertical="center"/>
    </xf>
    <xf numFmtId="164" fontId="2" fillId="2" borderId="14" xfId="1" applyNumberFormat="1" applyFont="1" applyFill="1" applyBorder="1" applyAlignment="1">
      <alignment horizontal="center" vertical="center"/>
    </xf>
    <xf numFmtId="164" fontId="2" fillId="5" borderId="7" xfId="1" applyNumberFormat="1" applyFont="1" applyFill="1" applyBorder="1" applyAlignment="1">
      <alignment horizontal="center" vertical="center" wrapText="1"/>
    </xf>
    <xf numFmtId="164" fontId="6" fillId="5" borderId="7" xfId="1" applyNumberFormat="1" applyFont="1" applyFill="1" applyBorder="1" applyAlignment="1">
      <alignment horizontal="center" vertical="center" wrapText="1"/>
    </xf>
    <xf numFmtId="164" fontId="2" fillId="3" borderId="13" xfId="1" applyNumberFormat="1" applyFont="1" applyFill="1" applyBorder="1" applyAlignment="1">
      <alignment horizontal="center" vertical="center"/>
    </xf>
    <xf numFmtId="0" fontId="2" fillId="2" borderId="9" xfId="1" applyNumberFormat="1" applyFont="1" applyFill="1" applyBorder="1" applyAlignment="1">
      <alignment horizontal="center" vertical="center"/>
    </xf>
    <xf numFmtId="164" fontId="2" fillId="2" borderId="15" xfId="1" applyNumberFormat="1" applyFont="1" applyFill="1" applyBorder="1" applyAlignment="1">
      <alignment horizontal="center" vertical="center"/>
    </xf>
    <xf numFmtId="164" fontId="2" fillId="0" borderId="16" xfId="1" applyNumberFormat="1" applyFont="1" applyFill="1" applyBorder="1" applyAlignment="1">
      <alignment horizontal="center" vertical="center"/>
    </xf>
    <xf numFmtId="164" fontId="2" fillId="3" borderId="17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596C-313C-4753-BE31-455006AB6017}">
  <dimension ref="A1:L22"/>
  <sheetViews>
    <sheetView rightToLeft="1" tabSelected="1" zoomScale="20" zoomScaleNormal="20" workbookViewId="0">
      <selection activeCell="BC4" sqref="BC4"/>
    </sheetView>
  </sheetViews>
  <sheetFormatPr defaultRowHeight="15" x14ac:dyDescent="0.25"/>
  <cols>
    <col min="1" max="1" width="17" bestFit="1" customWidth="1"/>
    <col min="2" max="2" width="30.5703125" bestFit="1" customWidth="1"/>
    <col min="3" max="3" width="22.42578125" bestFit="1" customWidth="1"/>
    <col min="4" max="4" width="40.85546875" bestFit="1" customWidth="1"/>
    <col min="5" max="5" width="65.140625" bestFit="1" customWidth="1"/>
    <col min="6" max="6" width="65.7109375" bestFit="1" customWidth="1"/>
    <col min="7" max="7" width="65.28515625" bestFit="1" customWidth="1"/>
    <col min="8" max="8" width="67.28515625" bestFit="1" customWidth="1"/>
    <col min="9" max="9" width="79.85546875" bestFit="1" customWidth="1"/>
    <col min="10" max="10" width="25.140625" bestFit="1" customWidth="1"/>
    <col min="11" max="11" width="35.140625" bestFit="1" customWidth="1"/>
    <col min="12" max="12" width="34.140625" bestFit="1" customWidth="1"/>
  </cols>
  <sheetData>
    <row r="1" spans="1:12" ht="56.25" thickBot="1" x14ac:dyDescent="0.3">
      <c r="A1" s="1" t="s">
        <v>0</v>
      </c>
      <c r="B1" s="5"/>
      <c r="C1" s="10"/>
      <c r="D1" s="1" t="s">
        <v>1</v>
      </c>
      <c r="E1" s="5"/>
      <c r="F1" s="5"/>
      <c r="G1" s="5"/>
      <c r="H1" s="10"/>
      <c r="I1" s="27" t="s">
        <v>2</v>
      </c>
      <c r="J1" s="31"/>
      <c r="K1" s="36" t="s">
        <v>3</v>
      </c>
      <c r="L1" s="41" t="s">
        <v>4</v>
      </c>
    </row>
    <row r="2" spans="1:12" ht="277.5" x14ac:dyDescent="0.25">
      <c r="A2" s="2" t="s">
        <v>5</v>
      </c>
      <c r="B2" s="6" t="s">
        <v>6</v>
      </c>
      <c r="C2" s="11" t="s">
        <v>7</v>
      </c>
      <c r="D2" s="16" t="s">
        <v>8</v>
      </c>
      <c r="E2" s="16" t="s">
        <v>9</v>
      </c>
      <c r="F2" s="16" t="s">
        <v>10</v>
      </c>
      <c r="G2" s="16" t="s">
        <v>11</v>
      </c>
      <c r="H2" s="23" t="s">
        <v>12</v>
      </c>
      <c r="I2" s="28" t="s">
        <v>13</v>
      </c>
      <c r="J2" s="28" t="s">
        <v>14</v>
      </c>
      <c r="K2" s="37" t="s">
        <v>15</v>
      </c>
      <c r="L2" s="42" t="s">
        <v>16</v>
      </c>
    </row>
    <row r="3" spans="1:12" ht="409.5" x14ac:dyDescent="0.25">
      <c r="A3" s="3">
        <v>1</v>
      </c>
      <c r="B3" s="7" t="s">
        <v>17</v>
      </c>
      <c r="C3" s="12">
        <v>16757</v>
      </c>
      <c r="D3" s="17" t="s">
        <v>18</v>
      </c>
      <c r="E3" s="20">
        <v>187500000</v>
      </c>
      <c r="F3" s="21">
        <v>0</v>
      </c>
      <c r="G3" s="21">
        <f t="shared" ref="G3:G21" si="0">E3-F3</f>
        <v>187500000</v>
      </c>
      <c r="H3" s="24">
        <f t="shared" ref="H3:H5" si="1">G3</f>
        <v>187500000</v>
      </c>
      <c r="I3" s="29">
        <f>H3</f>
        <v>187500000</v>
      </c>
      <c r="J3" s="32" t="s">
        <v>19</v>
      </c>
      <c r="K3" s="38" t="s">
        <v>20</v>
      </c>
      <c r="L3" s="43"/>
    </row>
    <row r="4" spans="1:12" ht="409.5" x14ac:dyDescent="0.25">
      <c r="A4" s="3">
        <v>2</v>
      </c>
      <c r="B4" s="7" t="s">
        <v>17</v>
      </c>
      <c r="C4" s="12">
        <v>16832</v>
      </c>
      <c r="D4" s="18" t="s">
        <v>21</v>
      </c>
      <c r="E4" s="20">
        <v>146355000000</v>
      </c>
      <c r="F4" s="21">
        <v>0</v>
      </c>
      <c r="G4" s="21">
        <f t="shared" si="0"/>
        <v>146355000000</v>
      </c>
      <c r="H4" s="24">
        <f t="shared" si="1"/>
        <v>146355000000</v>
      </c>
      <c r="I4" s="29">
        <f>H4</f>
        <v>146355000000</v>
      </c>
      <c r="J4" s="32" t="s">
        <v>19</v>
      </c>
      <c r="K4" s="38" t="s">
        <v>22</v>
      </c>
      <c r="L4" s="43"/>
    </row>
    <row r="5" spans="1:12" ht="409.5" x14ac:dyDescent="0.25">
      <c r="A5" s="3">
        <v>3</v>
      </c>
      <c r="B5" s="7" t="s">
        <v>17</v>
      </c>
      <c r="C5" s="13" t="s">
        <v>23</v>
      </c>
      <c r="D5" s="17" t="s">
        <v>24</v>
      </c>
      <c r="E5" s="20">
        <v>121324500000</v>
      </c>
      <c r="F5" s="21">
        <v>34320000000</v>
      </c>
      <c r="G5" s="21">
        <f t="shared" si="0"/>
        <v>87004500000</v>
      </c>
      <c r="H5" s="24">
        <f t="shared" si="1"/>
        <v>87004500000</v>
      </c>
      <c r="I5" s="29">
        <f>H5</f>
        <v>87004500000</v>
      </c>
      <c r="J5" s="32" t="s">
        <v>19</v>
      </c>
      <c r="K5" s="38" t="s">
        <v>25</v>
      </c>
      <c r="L5" s="43"/>
    </row>
    <row r="6" spans="1:12" ht="409.5" x14ac:dyDescent="0.25">
      <c r="A6" s="3">
        <v>4</v>
      </c>
      <c r="B6" s="7" t="s">
        <v>26</v>
      </c>
      <c r="C6" s="14" t="s">
        <v>27</v>
      </c>
      <c r="D6" s="18" t="s">
        <v>28</v>
      </c>
      <c r="E6" s="20">
        <v>13676458136</v>
      </c>
      <c r="F6" s="21">
        <v>3207296640</v>
      </c>
      <c r="G6" s="21">
        <f t="shared" si="0"/>
        <v>10469161496</v>
      </c>
      <c r="H6" s="24">
        <v>-6836767344</v>
      </c>
      <c r="I6" s="29">
        <v>10469161496</v>
      </c>
      <c r="J6" s="32" t="s">
        <v>29</v>
      </c>
      <c r="K6" s="38" t="s">
        <v>30</v>
      </c>
      <c r="L6" s="43"/>
    </row>
    <row r="7" spans="1:12" ht="409.5" x14ac:dyDescent="0.25">
      <c r="A7" s="3">
        <v>5</v>
      </c>
      <c r="B7" s="7" t="s">
        <v>26</v>
      </c>
      <c r="C7" s="12">
        <v>16797</v>
      </c>
      <c r="D7" s="19" t="s">
        <v>31</v>
      </c>
      <c r="E7" s="20">
        <v>40700000000</v>
      </c>
      <c r="F7" s="21">
        <v>13247497234</v>
      </c>
      <c r="G7" s="21">
        <f t="shared" si="0"/>
        <v>27452502766</v>
      </c>
      <c r="H7" s="24">
        <f>G7</f>
        <v>27452502766</v>
      </c>
      <c r="I7" s="29">
        <f>15000000000</f>
        <v>15000000000</v>
      </c>
      <c r="J7" s="33" t="s">
        <v>32</v>
      </c>
      <c r="K7" s="38" t="s">
        <v>33</v>
      </c>
      <c r="L7" s="43"/>
    </row>
    <row r="8" spans="1:12" ht="409.5" x14ac:dyDescent="0.25">
      <c r="A8" s="3">
        <v>6</v>
      </c>
      <c r="B8" s="7" t="s">
        <v>34</v>
      </c>
      <c r="C8" s="12">
        <v>16829</v>
      </c>
      <c r="D8" s="17" t="s">
        <v>35</v>
      </c>
      <c r="E8" s="20">
        <v>396000000</v>
      </c>
      <c r="F8" s="21">
        <v>0</v>
      </c>
      <c r="G8" s="21">
        <f t="shared" si="0"/>
        <v>396000000</v>
      </c>
      <c r="H8" s="24"/>
      <c r="I8" s="29">
        <f t="shared" ref="I8:I21" si="2">G8-F8</f>
        <v>396000000</v>
      </c>
      <c r="J8" s="32" t="s">
        <v>19</v>
      </c>
      <c r="K8" s="38" t="s">
        <v>36</v>
      </c>
      <c r="L8" s="43"/>
    </row>
    <row r="9" spans="1:12" ht="78" x14ac:dyDescent="0.25">
      <c r="A9" s="3">
        <v>7</v>
      </c>
      <c r="B9" s="7"/>
      <c r="C9" s="12"/>
      <c r="D9" s="19"/>
      <c r="E9" s="20"/>
      <c r="F9" s="21">
        <v>0</v>
      </c>
      <c r="G9" s="21">
        <f t="shared" si="0"/>
        <v>0</v>
      </c>
      <c r="H9" s="24"/>
      <c r="I9" s="29">
        <f t="shared" si="2"/>
        <v>0</v>
      </c>
      <c r="J9" s="32">
        <v>1</v>
      </c>
      <c r="K9" s="38"/>
      <c r="L9" s="43"/>
    </row>
    <row r="10" spans="1:12" ht="78" x14ac:dyDescent="0.25">
      <c r="A10" s="3">
        <v>8</v>
      </c>
      <c r="B10" s="7"/>
      <c r="C10" s="12"/>
      <c r="D10" s="19"/>
      <c r="E10" s="20"/>
      <c r="F10" s="21">
        <v>0</v>
      </c>
      <c r="G10" s="21">
        <f t="shared" si="0"/>
        <v>0</v>
      </c>
      <c r="H10" s="24"/>
      <c r="I10" s="29">
        <f t="shared" si="2"/>
        <v>0</v>
      </c>
      <c r="J10" s="32"/>
      <c r="K10" s="38"/>
      <c r="L10" s="43"/>
    </row>
    <row r="11" spans="1:12" ht="78" x14ac:dyDescent="0.25">
      <c r="A11" s="3">
        <v>9</v>
      </c>
      <c r="B11" s="7"/>
      <c r="C11" s="12"/>
      <c r="D11" s="18"/>
      <c r="E11" s="20"/>
      <c r="F11" s="21">
        <v>0</v>
      </c>
      <c r="G11" s="21">
        <f t="shared" si="0"/>
        <v>0</v>
      </c>
      <c r="H11" s="24"/>
      <c r="I11" s="29">
        <f t="shared" si="2"/>
        <v>0</v>
      </c>
      <c r="J11" s="32"/>
      <c r="K11" s="38"/>
      <c r="L11" s="43"/>
    </row>
    <row r="12" spans="1:12" ht="78" x14ac:dyDescent="0.25">
      <c r="A12" s="3">
        <v>10</v>
      </c>
      <c r="B12" s="7"/>
      <c r="C12" s="15"/>
      <c r="D12" s="17"/>
      <c r="E12" s="20"/>
      <c r="F12" s="21">
        <v>0</v>
      </c>
      <c r="G12" s="21">
        <f t="shared" si="0"/>
        <v>0</v>
      </c>
      <c r="H12" s="25"/>
      <c r="I12" s="29">
        <f t="shared" si="2"/>
        <v>0</v>
      </c>
      <c r="J12" s="32"/>
      <c r="K12" s="39"/>
      <c r="L12" s="43"/>
    </row>
    <row r="13" spans="1:12" ht="78" x14ac:dyDescent="0.25">
      <c r="A13" s="3">
        <v>11</v>
      </c>
      <c r="B13" s="8"/>
      <c r="C13" s="12"/>
      <c r="D13" s="18"/>
      <c r="E13" s="21"/>
      <c r="F13" s="21">
        <v>0</v>
      </c>
      <c r="G13" s="21">
        <f t="shared" si="0"/>
        <v>0</v>
      </c>
      <c r="H13" s="24"/>
      <c r="I13" s="29">
        <f t="shared" si="2"/>
        <v>0</v>
      </c>
      <c r="J13" s="32"/>
      <c r="K13" s="39"/>
      <c r="L13" s="43"/>
    </row>
    <row r="14" spans="1:12" ht="78" x14ac:dyDescent="0.25">
      <c r="A14" s="3">
        <v>12</v>
      </c>
      <c r="B14" s="8"/>
      <c r="C14" s="12"/>
      <c r="D14" s="18"/>
      <c r="E14" s="21"/>
      <c r="F14" s="21">
        <v>0</v>
      </c>
      <c r="G14" s="21">
        <f t="shared" si="0"/>
        <v>0</v>
      </c>
      <c r="H14" s="24"/>
      <c r="I14" s="29">
        <f t="shared" si="2"/>
        <v>0</v>
      </c>
      <c r="J14" s="32"/>
      <c r="K14" s="38"/>
      <c r="L14" s="43"/>
    </row>
    <row r="15" spans="1:12" ht="78" x14ac:dyDescent="0.25">
      <c r="A15" s="3">
        <v>13</v>
      </c>
      <c r="B15" s="8"/>
      <c r="C15" s="15"/>
      <c r="D15" s="18"/>
      <c r="E15" s="21"/>
      <c r="F15" s="21">
        <v>0</v>
      </c>
      <c r="G15" s="21">
        <f t="shared" si="0"/>
        <v>0</v>
      </c>
      <c r="H15" s="24"/>
      <c r="I15" s="29">
        <f t="shared" si="2"/>
        <v>0</v>
      </c>
      <c r="J15" s="32"/>
      <c r="K15" s="38"/>
      <c r="L15" s="43"/>
    </row>
    <row r="16" spans="1:12" ht="78" x14ac:dyDescent="0.25">
      <c r="A16" s="3">
        <v>14</v>
      </c>
      <c r="B16" s="8"/>
      <c r="C16" s="12"/>
      <c r="D16" s="18"/>
      <c r="E16" s="21"/>
      <c r="F16" s="21">
        <v>0</v>
      </c>
      <c r="G16" s="21">
        <f t="shared" si="0"/>
        <v>0</v>
      </c>
      <c r="H16" s="24"/>
      <c r="I16" s="29">
        <f t="shared" si="2"/>
        <v>0</v>
      </c>
      <c r="J16" s="32"/>
      <c r="K16" s="38"/>
      <c r="L16" s="43"/>
    </row>
    <row r="17" spans="1:12" ht="78" x14ac:dyDescent="0.25">
      <c r="A17" s="3">
        <v>15</v>
      </c>
      <c r="B17" s="8"/>
      <c r="C17" s="12"/>
      <c r="D17" s="18"/>
      <c r="E17" s="21"/>
      <c r="F17" s="21">
        <v>0</v>
      </c>
      <c r="G17" s="21">
        <f t="shared" si="0"/>
        <v>0</v>
      </c>
      <c r="H17" s="24"/>
      <c r="I17" s="29">
        <f t="shared" si="2"/>
        <v>0</v>
      </c>
      <c r="J17" s="34"/>
      <c r="K17" s="38"/>
      <c r="L17" s="43"/>
    </row>
    <row r="18" spans="1:12" ht="78" x14ac:dyDescent="0.25">
      <c r="A18" s="3">
        <v>16</v>
      </c>
      <c r="B18" s="8"/>
      <c r="C18" s="12"/>
      <c r="D18" s="18"/>
      <c r="E18" s="21"/>
      <c r="F18" s="21">
        <v>0</v>
      </c>
      <c r="G18" s="21">
        <f t="shared" si="0"/>
        <v>0</v>
      </c>
      <c r="H18" s="24"/>
      <c r="I18" s="29">
        <f t="shared" si="2"/>
        <v>0</v>
      </c>
      <c r="J18" s="32"/>
      <c r="K18" s="38"/>
      <c r="L18" s="43"/>
    </row>
    <row r="19" spans="1:12" ht="78" x14ac:dyDescent="0.25">
      <c r="A19" s="3">
        <v>17</v>
      </c>
      <c r="B19" s="8"/>
      <c r="C19" s="12"/>
      <c r="D19" s="18"/>
      <c r="E19" s="21"/>
      <c r="F19" s="21">
        <v>0</v>
      </c>
      <c r="G19" s="21">
        <f t="shared" si="0"/>
        <v>0</v>
      </c>
      <c r="H19" s="24"/>
      <c r="I19" s="29">
        <f t="shared" si="2"/>
        <v>0</v>
      </c>
      <c r="J19" s="32"/>
      <c r="K19" s="38"/>
      <c r="L19" s="43"/>
    </row>
    <row r="20" spans="1:12" ht="78" x14ac:dyDescent="0.25">
      <c r="A20" s="3">
        <v>18</v>
      </c>
      <c r="B20" s="8"/>
      <c r="C20" s="12"/>
      <c r="D20" s="18"/>
      <c r="E20" s="21"/>
      <c r="F20" s="21">
        <v>0</v>
      </c>
      <c r="G20" s="21">
        <f t="shared" si="0"/>
        <v>0</v>
      </c>
      <c r="H20" s="24"/>
      <c r="I20" s="29">
        <f t="shared" si="2"/>
        <v>0</v>
      </c>
      <c r="J20" s="32"/>
      <c r="K20" s="38"/>
      <c r="L20" s="43"/>
    </row>
    <row r="21" spans="1:12" ht="78" x14ac:dyDescent="0.25">
      <c r="A21" s="3">
        <v>19</v>
      </c>
      <c r="B21" s="8"/>
      <c r="C21" s="12"/>
      <c r="D21" s="18"/>
      <c r="E21" s="21"/>
      <c r="F21" s="21">
        <v>0</v>
      </c>
      <c r="G21" s="21">
        <f t="shared" si="0"/>
        <v>0</v>
      </c>
      <c r="H21" s="24"/>
      <c r="I21" s="29">
        <f t="shared" si="2"/>
        <v>0</v>
      </c>
      <c r="J21" s="32"/>
      <c r="K21" s="38"/>
      <c r="L21" s="43"/>
    </row>
    <row r="22" spans="1:12" ht="97.5" thickBot="1" x14ac:dyDescent="1.5">
      <c r="A22" s="4"/>
      <c r="B22" s="9"/>
      <c r="C22" s="9"/>
      <c r="D22" s="9"/>
      <c r="E22" s="9"/>
      <c r="F22" s="9"/>
      <c r="G22" s="22" t="s">
        <v>37</v>
      </c>
      <c r="H22" s="26"/>
      <c r="I22" s="30">
        <f>SUM(I3:I21)</f>
        <v>259412161496</v>
      </c>
      <c r="J22" s="35"/>
      <c r="K22" s="40"/>
      <c r="L22" s="44"/>
    </row>
  </sheetData>
  <mergeCells count="4">
    <mergeCell ref="A22:F22"/>
    <mergeCell ref="K22:L22"/>
    <mergeCell ref="A1:C1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 Sarikhani</dc:creator>
  <cp:lastModifiedBy>Behnam Sarikhani</cp:lastModifiedBy>
  <dcterms:created xsi:type="dcterms:W3CDTF">2026-09-13T06:31:21Z</dcterms:created>
  <dcterms:modified xsi:type="dcterms:W3CDTF">2026-09-13T06:32:23Z</dcterms:modified>
</cp:coreProperties>
</file>